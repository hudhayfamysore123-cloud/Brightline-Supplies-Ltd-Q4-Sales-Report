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bbasraza/Downloads/stuff to do with my identity/Portfolio/"/>
    </mc:Choice>
  </mc:AlternateContent>
  <xr:revisionPtr revIDLastSave="0" documentId="13_ncr:1_{04853E81-B33F-1F46-88E0-D2F062EC68B3}" xr6:coauthVersionLast="47" xr6:coauthVersionMax="47" xr10:uidLastSave="{00000000-0000-0000-0000-000000000000}"/>
  <bookViews>
    <workbookView xWindow="540" yWindow="1200" windowWidth="26340" windowHeight="15140" activeTab="1" xr2:uid="{60D76D05-7029-7942-9BA1-091323593F9C}"/>
  </bookViews>
  <sheets>
    <sheet name="Analysis" sheetId="3" r:id="rId1"/>
    <sheet name="Q4 Sales Export Edit" sheetId="2" r:id="rId2"/>
    <sheet name="Q4 Sales Export" sheetId="1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E37" i="3" s="1"/>
  <c r="B37" i="3"/>
  <c r="D37" i="3" s="1"/>
  <c r="E36" i="3"/>
  <c r="D36" i="3"/>
  <c r="C36" i="3"/>
  <c r="B36" i="3"/>
  <c r="C35" i="3"/>
  <c r="E35" i="3" s="1"/>
  <c r="B35" i="3"/>
  <c r="D35" i="3" s="1"/>
  <c r="C34" i="3"/>
  <c r="E34" i="3" s="1"/>
  <c r="B34" i="3"/>
  <c r="D34" i="3" s="1"/>
  <c r="E33" i="3"/>
  <c r="C33" i="3"/>
  <c r="B33" i="3"/>
  <c r="D33" i="3" s="1"/>
  <c r="E29" i="3"/>
  <c r="E28" i="3"/>
  <c r="D28" i="3"/>
  <c r="E25" i="3"/>
  <c r="D25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C22" i="3" s="1"/>
  <c r="B17" i="3"/>
  <c r="B22" i="3" s="1"/>
  <c r="H14" i="3"/>
  <c r="I12" i="3" s="1"/>
  <c r="H13" i="3"/>
  <c r="I13" i="3" s="1"/>
  <c r="C13" i="3"/>
  <c r="B13" i="3"/>
  <c r="H12" i="3"/>
  <c r="C12" i="3"/>
  <c r="D12" i="3" s="1"/>
  <c r="B12" i="3"/>
  <c r="H11" i="3"/>
  <c r="E27" i="3" s="1"/>
  <c r="F11" i="3"/>
  <c r="C11" i="3"/>
  <c r="B11" i="3"/>
  <c r="D11" i="3" s="1"/>
  <c r="H10" i="3"/>
  <c r="I10" i="3" s="1"/>
  <c r="C10" i="3"/>
  <c r="B10" i="3"/>
  <c r="H9" i="3"/>
  <c r="C9" i="3"/>
  <c r="C14" i="3" s="1"/>
  <c r="B9" i="3"/>
  <c r="J5" i="3"/>
  <c r="H5" i="3"/>
  <c r="G5" i="3"/>
  <c r="I5" i="3" s="1"/>
  <c r="C5" i="3"/>
  <c r="B5" i="3"/>
  <c r="D5" i="3" s="1"/>
  <c r="J4" i="3"/>
  <c r="H4" i="3"/>
  <c r="G4" i="3"/>
  <c r="I4" i="3" s="1"/>
  <c r="C4" i="3"/>
  <c r="B4" i="3"/>
  <c r="E4" i="3" s="1"/>
  <c r="J3" i="3"/>
  <c r="H3" i="3"/>
  <c r="H6" i="3" s="1"/>
  <c r="G3" i="3"/>
  <c r="G6" i="3" s="1"/>
  <c r="C3" i="3"/>
  <c r="B3" i="3"/>
  <c r="D3" i="3" s="1"/>
  <c r="J2" i="3"/>
  <c r="J6" i="3" s="1"/>
  <c r="H2" i="3"/>
  <c r="G2" i="3"/>
  <c r="I2" i="3" s="1"/>
  <c r="E2" i="3"/>
  <c r="D2" i="3"/>
  <c r="C2" i="3"/>
  <c r="C6" i="3" s="1"/>
  <c r="B2" i="3"/>
  <c r="B6" i="3" s="1"/>
  <c r="L169" i="2"/>
  <c r="M169" i="2" s="1"/>
  <c r="N169" i="2" s="1"/>
  <c r="K169" i="2"/>
  <c r="L168" i="2"/>
  <c r="M168" i="2" s="1"/>
  <c r="N168" i="2" s="1"/>
  <c r="K168" i="2"/>
  <c r="M167" i="2"/>
  <c r="N167" i="2" s="1"/>
  <c r="L167" i="2"/>
  <c r="K167" i="2"/>
  <c r="L166" i="2"/>
  <c r="M166" i="2" s="1"/>
  <c r="K166" i="2"/>
  <c r="M165" i="2"/>
  <c r="N165" i="2" s="1"/>
  <c r="L165" i="2"/>
  <c r="K165" i="2"/>
  <c r="L164" i="2"/>
  <c r="M164" i="2" s="1"/>
  <c r="N164" i="2" s="1"/>
  <c r="K164" i="2"/>
  <c r="L163" i="2"/>
  <c r="M163" i="2" s="1"/>
  <c r="N163" i="2" s="1"/>
  <c r="K163" i="2"/>
  <c r="L162" i="2"/>
  <c r="M162" i="2" s="1"/>
  <c r="N162" i="2" s="1"/>
  <c r="K162" i="2"/>
  <c r="N161" i="2"/>
  <c r="M161" i="2"/>
  <c r="L161" i="2"/>
  <c r="K161" i="2"/>
  <c r="L160" i="2"/>
  <c r="M160" i="2" s="1"/>
  <c r="K160" i="2"/>
  <c r="L159" i="2"/>
  <c r="M159" i="2" s="1"/>
  <c r="N159" i="2" s="1"/>
  <c r="K159" i="2"/>
  <c r="L158" i="2"/>
  <c r="M158" i="2" s="1"/>
  <c r="N158" i="2" s="1"/>
  <c r="K158" i="2"/>
  <c r="L157" i="2"/>
  <c r="M157" i="2" s="1"/>
  <c r="N157" i="2" s="1"/>
  <c r="K157" i="2"/>
  <c r="L156" i="2"/>
  <c r="M156" i="2" s="1"/>
  <c r="N156" i="2" s="1"/>
  <c r="K156" i="2"/>
  <c r="M155" i="2"/>
  <c r="N155" i="2" s="1"/>
  <c r="L155" i="2"/>
  <c r="K155" i="2"/>
  <c r="L154" i="2"/>
  <c r="M154" i="2" s="1"/>
  <c r="K154" i="2"/>
  <c r="M153" i="2"/>
  <c r="N153" i="2" s="1"/>
  <c r="L153" i="2"/>
  <c r="K153" i="2"/>
  <c r="L152" i="2"/>
  <c r="M152" i="2" s="1"/>
  <c r="N152" i="2" s="1"/>
  <c r="K152" i="2"/>
  <c r="L151" i="2"/>
  <c r="M151" i="2" s="1"/>
  <c r="N151" i="2" s="1"/>
  <c r="K151" i="2"/>
  <c r="L150" i="2"/>
  <c r="M150" i="2" s="1"/>
  <c r="N150" i="2" s="1"/>
  <c r="K150" i="2"/>
  <c r="N149" i="2"/>
  <c r="M149" i="2"/>
  <c r="L149" i="2"/>
  <c r="K149" i="2"/>
  <c r="L148" i="2"/>
  <c r="M148" i="2" s="1"/>
  <c r="K148" i="2"/>
  <c r="L147" i="2"/>
  <c r="M147" i="2" s="1"/>
  <c r="N147" i="2" s="1"/>
  <c r="K147" i="2"/>
  <c r="L146" i="2"/>
  <c r="M146" i="2" s="1"/>
  <c r="N146" i="2" s="1"/>
  <c r="K146" i="2"/>
  <c r="L145" i="2"/>
  <c r="M145" i="2" s="1"/>
  <c r="N145" i="2" s="1"/>
  <c r="K145" i="2"/>
  <c r="L144" i="2"/>
  <c r="M144" i="2" s="1"/>
  <c r="N144" i="2" s="1"/>
  <c r="K144" i="2"/>
  <c r="M143" i="2"/>
  <c r="N143" i="2" s="1"/>
  <c r="L143" i="2"/>
  <c r="K143" i="2"/>
  <c r="L142" i="2"/>
  <c r="M142" i="2" s="1"/>
  <c r="K142" i="2"/>
  <c r="M141" i="2"/>
  <c r="N141" i="2" s="1"/>
  <c r="L141" i="2"/>
  <c r="K141" i="2"/>
  <c r="L140" i="2"/>
  <c r="M140" i="2" s="1"/>
  <c r="N140" i="2" s="1"/>
  <c r="K140" i="2"/>
  <c r="L139" i="2"/>
  <c r="M139" i="2" s="1"/>
  <c r="N139" i="2" s="1"/>
  <c r="K139" i="2"/>
  <c r="L138" i="2"/>
  <c r="M138" i="2" s="1"/>
  <c r="N138" i="2" s="1"/>
  <c r="K138" i="2"/>
  <c r="N137" i="2"/>
  <c r="M137" i="2"/>
  <c r="L137" i="2"/>
  <c r="K137" i="2"/>
  <c r="L136" i="2"/>
  <c r="M136" i="2" s="1"/>
  <c r="K136" i="2"/>
  <c r="L135" i="2"/>
  <c r="M135" i="2" s="1"/>
  <c r="N135" i="2" s="1"/>
  <c r="K135" i="2"/>
  <c r="L134" i="2"/>
  <c r="M134" i="2" s="1"/>
  <c r="N134" i="2" s="1"/>
  <c r="K134" i="2"/>
  <c r="L133" i="2"/>
  <c r="M133" i="2" s="1"/>
  <c r="N133" i="2" s="1"/>
  <c r="K133" i="2"/>
  <c r="L132" i="2"/>
  <c r="M132" i="2" s="1"/>
  <c r="N132" i="2" s="1"/>
  <c r="K132" i="2"/>
  <c r="M131" i="2"/>
  <c r="N131" i="2" s="1"/>
  <c r="L131" i="2"/>
  <c r="K131" i="2"/>
  <c r="L130" i="2"/>
  <c r="M130" i="2" s="1"/>
  <c r="K130" i="2"/>
  <c r="M129" i="2"/>
  <c r="N129" i="2" s="1"/>
  <c r="L129" i="2"/>
  <c r="K129" i="2"/>
  <c r="L128" i="2"/>
  <c r="M128" i="2" s="1"/>
  <c r="N128" i="2" s="1"/>
  <c r="K128" i="2"/>
  <c r="L127" i="2"/>
  <c r="M127" i="2" s="1"/>
  <c r="N127" i="2" s="1"/>
  <c r="K127" i="2"/>
  <c r="L126" i="2"/>
  <c r="M126" i="2" s="1"/>
  <c r="N126" i="2" s="1"/>
  <c r="K126" i="2"/>
  <c r="N125" i="2"/>
  <c r="M125" i="2"/>
  <c r="L125" i="2"/>
  <c r="K125" i="2"/>
  <c r="L124" i="2"/>
  <c r="M124" i="2" s="1"/>
  <c r="K124" i="2"/>
  <c r="L123" i="2"/>
  <c r="M123" i="2" s="1"/>
  <c r="N123" i="2" s="1"/>
  <c r="K123" i="2"/>
  <c r="L122" i="2"/>
  <c r="M122" i="2" s="1"/>
  <c r="N122" i="2" s="1"/>
  <c r="K122" i="2"/>
  <c r="L121" i="2"/>
  <c r="M121" i="2" s="1"/>
  <c r="N121" i="2" s="1"/>
  <c r="K121" i="2"/>
  <c r="L120" i="2"/>
  <c r="M120" i="2" s="1"/>
  <c r="N120" i="2" s="1"/>
  <c r="K120" i="2"/>
  <c r="M119" i="2"/>
  <c r="N119" i="2" s="1"/>
  <c r="L119" i="2"/>
  <c r="K119" i="2"/>
  <c r="L118" i="2"/>
  <c r="M118" i="2" s="1"/>
  <c r="K118" i="2"/>
  <c r="M117" i="2"/>
  <c r="N117" i="2" s="1"/>
  <c r="L117" i="2"/>
  <c r="K117" i="2"/>
  <c r="L116" i="2"/>
  <c r="M116" i="2" s="1"/>
  <c r="N116" i="2" s="1"/>
  <c r="K116" i="2"/>
  <c r="L115" i="2"/>
  <c r="M115" i="2" s="1"/>
  <c r="N115" i="2" s="1"/>
  <c r="K115" i="2"/>
  <c r="L114" i="2"/>
  <c r="M114" i="2" s="1"/>
  <c r="N114" i="2" s="1"/>
  <c r="K114" i="2"/>
  <c r="N113" i="2"/>
  <c r="M113" i="2"/>
  <c r="L113" i="2"/>
  <c r="K113" i="2"/>
  <c r="L112" i="2"/>
  <c r="M112" i="2" s="1"/>
  <c r="K112" i="2"/>
  <c r="L111" i="2"/>
  <c r="M111" i="2" s="1"/>
  <c r="N111" i="2" s="1"/>
  <c r="K111" i="2"/>
  <c r="L110" i="2"/>
  <c r="M110" i="2" s="1"/>
  <c r="N110" i="2" s="1"/>
  <c r="K110" i="2"/>
  <c r="L109" i="2"/>
  <c r="M109" i="2" s="1"/>
  <c r="N109" i="2" s="1"/>
  <c r="K109" i="2"/>
  <c r="L108" i="2"/>
  <c r="M108" i="2" s="1"/>
  <c r="N108" i="2" s="1"/>
  <c r="K108" i="2"/>
  <c r="M107" i="2"/>
  <c r="N107" i="2" s="1"/>
  <c r="L107" i="2"/>
  <c r="K107" i="2"/>
  <c r="L106" i="2"/>
  <c r="M106" i="2" s="1"/>
  <c r="K106" i="2"/>
  <c r="M105" i="2"/>
  <c r="N105" i="2" s="1"/>
  <c r="L105" i="2"/>
  <c r="K105" i="2"/>
  <c r="L104" i="2"/>
  <c r="M104" i="2" s="1"/>
  <c r="N104" i="2" s="1"/>
  <c r="K104" i="2"/>
  <c r="L103" i="2"/>
  <c r="M103" i="2" s="1"/>
  <c r="N103" i="2" s="1"/>
  <c r="K103" i="2"/>
  <c r="L102" i="2"/>
  <c r="M102" i="2" s="1"/>
  <c r="N102" i="2" s="1"/>
  <c r="K102" i="2"/>
  <c r="N101" i="2"/>
  <c r="M101" i="2"/>
  <c r="L101" i="2"/>
  <c r="K101" i="2"/>
  <c r="L100" i="2"/>
  <c r="M100" i="2" s="1"/>
  <c r="K100" i="2"/>
  <c r="L99" i="2"/>
  <c r="M99" i="2" s="1"/>
  <c r="N99" i="2" s="1"/>
  <c r="K99" i="2"/>
  <c r="L98" i="2"/>
  <c r="M98" i="2" s="1"/>
  <c r="N98" i="2" s="1"/>
  <c r="K98" i="2"/>
  <c r="L97" i="2"/>
  <c r="M97" i="2" s="1"/>
  <c r="N97" i="2" s="1"/>
  <c r="K97" i="2"/>
  <c r="L96" i="2"/>
  <c r="M96" i="2" s="1"/>
  <c r="N96" i="2" s="1"/>
  <c r="K96" i="2"/>
  <c r="M95" i="2"/>
  <c r="N95" i="2" s="1"/>
  <c r="L95" i="2"/>
  <c r="K95" i="2"/>
  <c r="L94" i="2"/>
  <c r="M94" i="2" s="1"/>
  <c r="K94" i="2"/>
  <c r="M93" i="2"/>
  <c r="N93" i="2" s="1"/>
  <c r="L93" i="2"/>
  <c r="K93" i="2"/>
  <c r="L92" i="2"/>
  <c r="M92" i="2" s="1"/>
  <c r="N92" i="2" s="1"/>
  <c r="K92" i="2"/>
  <c r="M91" i="2"/>
  <c r="N91" i="2" s="1"/>
  <c r="L91" i="2"/>
  <c r="K91" i="2"/>
  <c r="L90" i="2"/>
  <c r="M90" i="2" s="1"/>
  <c r="N90" i="2" s="1"/>
  <c r="K90" i="2"/>
  <c r="N89" i="2"/>
  <c r="M89" i="2"/>
  <c r="L89" i="2"/>
  <c r="K89" i="2"/>
  <c r="L88" i="2"/>
  <c r="M88" i="2" s="1"/>
  <c r="N88" i="2" s="1"/>
  <c r="K88" i="2"/>
  <c r="L87" i="2"/>
  <c r="M87" i="2" s="1"/>
  <c r="N87" i="2" s="1"/>
  <c r="K87" i="2"/>
  <c r="M86" i="2"/>
  <c r="N86" i="2" s="1"/>
  <c r="L86" i="2"/>
  <c r="K86" i="2"/>
  <c r="L85" i="2"/>
  <c r="M85" i="2" s="1"/>
  <c r="N85" i="2" s="1"/>
  <c r="K85" i="2"/>
  <c r="L84" i="2"/>
  <c r="M84" i="2" s="1"/>
  <c r="N84" i="2" s="1"/>
  <c r="K84" i="2"/>
  <c r="L83" i="2"/>
  <c r="M83" i="2" s="1"/>
  <c r="N83" i="2" s="1"/>
  <c r="K83" i="2"/>
  <c r="M82" i="2"/>
  <c r="N82" i="2" s="1"/>
  <c r="L82" i="2"/>
  <c r="K82" i="2"/>
  <c r="L81" i="2"/>
  <c r="M81" i="2" s="1"/>
  <c r="N81" i="2" s="1"/>
  <c r="K81" i="2"/>
  <c r="L80" i="2"/>
  <c r="M80" i="2" s="1"/>
  <c r="N80" i="2" s="1"/>
  <c r="K80" i="2"/>
  <c r="L79" i="2"/>
  <c r="M79" i="2" s="1"/>
  <c r="N79" i="2" s="1"/>
  <c r="K79" i="2"/>
  <c r="M78" i="2"/>
  <c r="L78" i="2"/>
  <c r="K78" i="2"/>
  <c r="L77" i="2"/>
  <c r="M77" i="2" s="1"/>
  <c r="N77" i="2" s="1"/>
  <c r="K77" i="2"/>
  <c r="L76" i="2"/>
  <c r="M76" i="2" s="1"/>
  <c r="N76" i="2" s="1"/>
  <c r="K76" i="2"/>
  <c r="M75" i="2"/>
  <c r="N75" i="2" s="1"/>
  <c r="L75" i="2"/>
  <c r="K75" i="2"/>
  <c r="L74" i="2"/>
  <c r="M74" i="2" s="1"/>
  <c r="N74" i="2" s="1"/>
  <c r="K74" i="2"/>
  <c r="M73" i="2"/>
  <c r="N73" i="2" s="1"/>
  <c r="L73" i="2"/>
  <c r="K73" i="2"/>
  <c r="L72" i="2"/>
  <c r="M72" i="2" s="1"/>
  <c r="N72" i="2" s="1"/>
  <c r="K72" i="2"/>
  <c r="S14" i="2" s="1"/>
  <c r="N71" i="2"/>
  <c r="M71" i="2"/>
  <c r="L71" i="2"/>
  <c r="K71" i="2"/>
  <c r="L70" i="2"/>
  <c r="M70" i="2" s="1"/>
  <c r="N70" i="2" s="1"/>
  <c r="K70" i="2"/>
  <c r="L69" i="2"/>
  <c r="M69" i="2" s="1"/>
  <c r="N69" i="2" s="1"/>
  <c r="K69" i="2"/>
  <c r="M68" i="2"/>
  <c r="N68" i="2" s="1"/>
  <c r="L68" i="2"/>
  <c r="K68" i="2"/>
  <c r="L67" i="2"/>
  <c r="M67" i="2" s="1"/>
  <c r="N67" i="2" s="1"/>
  <c r="K67" i="2"/>
  <c r="L66" i="2"/>
  <c r="M66" i="2" s="1"/>
  <c r="N66" i="2" s="1"/>
  <c r="K66" i="2"/>
  <c r="L65" i="2"/>
  <c r="M65" i="2" s="1"/>
  <c r="N65" i="2" s="1"/>
  <c r="K65" i="2"/>
  <c r="M64" i="2"/>
  <c r="N64" i="2" s="1"/>
  <c r="L64" i="2"/>
  <c r="K64" i="2"/>
  <c r="L63" i="2"/>
  <c r="M63" i="2" s="1"/>
  <c r="N63" i="2" s="1"/>
  <c r="K63" i="2"/>
  <c r="L62" i="2"/>
  <c r="M62" i="2" s="1"/>
  <c r="N62" i="2" s="1"/>
  <c r="K62" i="2"/>
  <c r="L61" i="2"/>
  <c r="M61" i="2" s="1"/>
  <c r="N61" i="2" s="1"/>
  <c r="K61" i="2"/>
  <c r="M60" i="2"/>
  <c r="L60" i="2"/>
  <c r="K60" i="2"/>
  <c r="L59" i="2"/>
  <c r="M59" i="2" s="1"/>
  <c r="N59" i="2" s="1"/>
  <c r="K59" i="2"/>
  <c r="L58" i="2"/>
  <c r="M58" i="2" s="1"/>
  <c r="N58" i="2" s="1"/>
  <c r="K58" i="2"/>
  <c r="M57" i="2"/>
  <c r="N57" i="2" s="1"/>
  <c r="L57" i="2"/>
  <c r="K57" i="2"/>
  <c r="L56" i="2"/>
  <c r="M56" i="2" s="1"/>
  <c r="N56" i="2" s="1"/>
  <c r="K56" i="2"/>
  <c r="M55" i="2"/>
  <c r="N55" i="2" s="1"/>
  <c r="L55" i="2"/>
  <c r="K55" i="2"/>
  <c r="L54" i="2"/>
  <c r="M54" i="2" s="1"/>
  <c r="N54" i="2" s="1"/>
  <c r="K54" i="2"/>
  <c r="N53" i="2"/>
  <c r="M53" i="2"/>
  <c r="L53" i="2"/>
  <c r="K53" i="2"/>
  <c r="L52" i="2"/>
  <c r="M52" i="2" s="1"/>
  <c r="N52" i="2" s="1"/>
  <c r="K52" i="2"/>
  <c r="L51" i="2"/>
  <c r="M51" i="2" s="1"/>
  <c r="N51" i="2" s="1"/>
  <c r="K51" i="2"/>
  <c r="M50" i="2"/>
  <c r="N50" i="2" s="1"/>
  <c r="L50" i="2"/>
  <c r="K50" i="2"/>
  <c r="L49" i="2"/>
  <c r="M49" i="2" s="1"/>
  <c r="N49" i="2" s="1"/>
  <c r="K49" i="2"/>
  <c r="L48" i="2"/>
  <c r="M48" i="2" s="1"/>
  <c r="N48" i="2" s="1"/>
  <c r="K48" i="2"/>
  <c r="L47" i="2"/>
  <c r="M47" i="2" s="1"/>
  <c r="N47" i="2" s="1"/>
  <c r="K47" i="2"/>
  <c r="M46" i="2"/>
  <c r="N46" i="2" s="1"/>
  <c r="L46" i="2"/>
  <c r="K46" i="2"/>
  <c r="L45" i="2"/>
  <c r="M45" i="2" s="1"/>
  <c r="N45" i="2" s="1"/>
  <c r="K45" i="2"/>
  <c r="L44" i="2"/>
  <c r="M44" i="2" s="1"/>
  <c r="N44" i="2" s="1"/>
  <c r="K44" i="2"/>
  <c r="L43" i="2"/>
  <c r="M43" i="2" s="1"/>
  <c r="N43" i="2" s="1"/>
  <c r="K43" i="2"/>
  <c r="M42" i="2"/>
  <c r="L42" i="2"/>
  <c r="K42" i="2"/>
  <c r="L41" i="2"/>
  <c r="M41" i="2" s="1"/>
  <c r="N41" i="2" s="1"/>
  <c r="K41" i="2"/>
  <c r="L40" i="2"/>
  <c r="M40" i="2" s="1"/>
  <c r="N40" i="2" s="1"/>
  <c r="K40" i="2"/>
  <c r="S18" i="2" s="1"/>
  <c r="M39" i="2"/>
  <c r="N39" i="2" s="1"/>
  <c r="L39" i="2"/>
  <c r="K39" i="2"/>
  <c r="L38" i="2"/>
  <c r="M38" i="2" s="1"/>
  <c r="N38" i="2" s="1"/>
  <c r="K38" i="2"/>
  <c r="M37" i="2"/>
  <c r="N37" i="2" s="1"/>
  <c r="L37" i="2"/>
  <c r="K37" i="2"/>
  <c r="L36" i="2"/>
  <c r="M36" i="2" s="1"/>
  <c r="N36" i="2" s="1"/>
  <c r="K36" i="2"/>
  <c r="N35" i="2"/>
  <c r="M35" i="2"/>
  <c r="L35" i="2"/>
  <c r="K35" i="2"/>
  <c r="L34" i="2"/>
  <c r="M34" i="2" s="1"/>
  <c r="N34" i="2" s="1"/>
  <c r="K34" i="2"/>
  <c r="S10" i="2" s="1"/>
  <c r="L33" i="2"/>
  <c r="M33" i="2" s="1"/>
  <c r="N33" i="2" s="1"/>
  <c r="K33" i="2"/>
  <c r="M32" i="2"/>
  <c r="N32" i="2" s="1"/>
  <c r="L32" i="2"/>
  <c r="K32" i="2"/>
  <c r="L31" i="2"/>
  <c r="M31" i="2" s="1"/>
  <c r="N31" i="2" s="1"/>
  <c r="K31" i="2"/>
  <c r="L30" i="2"/>
  <c r="M30" i="2" s="1"/>
  <c r="N30" i="2" s="1"/>
  <c r="K30" i="2"/>
  <c r="L29" i="2"/>
  <c r="M29" i="2" s="1"/>
  <c r="N29" i="2" s="1"/>
  <c r="K29" i="2"/>
  <c r="M28" i="2"/>
  <c r="N28" i="2" s="1"/>
  <c r="L28" i="2"/>
  <c r="K28" i="2"/>
  <c r="L27" i="2"/>
  <c r="M27" i="2" s="1"/>
  <c r="N27" i="2" s="1"/>
  <c r="K27" i="2"/>
  <c r="S15" i="2" s="1"/>
  <c r="L26" i="2"/>
  <c r="M26" i="2" s="1"/>
  <c r="N26" i="2" s="1"/>
  <c r="K26" i="2"/>
  <c r="L25" i="2"/>
  <c r="M25" i="2" s="1"/>
  <c r="N25" i="2" s="1"/>
  <c r="K25" i="2"/>
  <c r="M24" i="2"/>
  <c r="L24" i="2"/>
  <c r="K24" i="2"/>
  <c r="L23" i="2"/>
  <c r="M23" i="2" s="1"/>
  <c r="N23" i="2" s="1"/>
  <c r="K23" i="2"/>
  <c r="L22" i="2"/>
  <c r="M22" i="2" s="1"/>
  <c r="N22" i="2" s="1"/>
  <c r="K22" i="2"/>
  <c r="S2" i="2" s="1"/>
  <c r="M21" i="2"/>
  <c r="N21" i="2" s="1"/>
  <c r="L21" i="2"/>
  <c r="K21" i="2"/>
  <c r="L20" i="2"/>
  <c r="M20" i="2" s="1"/>
  <c r="N20" i="2" s="1"/>
  <c r="K20" i="2"/>
  <c r="M19" i="2"/>
  <c r="N19" i="2" s="1"/>
  <c r="L19" i="2"/>
  <c r="K19" i="2"/>
  <c r="M18" i="2"/>
  <c r="N18" i="2" s="1"/>
  <c r="L18" i="2"/>
  <c r="K18" i="2"/>
  <c r="L17" i="2"/>
  <c r="M17" i="2" s="1"/>
  <c r="N17" i="2" s="1"/>
  <c r="K17" i="2"/>
  <c r="L16" i="2"/>
  <c r="M16" i="2" s="1"/>
  <c r="N16" i="2" s="1"/>
  <c r="K16" i="2"/>
  <c r="S16" i="2" s="1"/>
  <c r="M15" i="2"/>
  <c r="L15" i="2"/>
  <c r="K15" i="2"/>
  <c r="M14" i="2"/>
  <c r="N14" i="2" s="1"/>
  <c r="L14" i="2"/>
  <c r="K14" i="2"/>
  <c r="S13" i="2"/>
  <c r="M13" i="2"/>
  <c r="N13" i="2" s="1"/>
  <c r="L13" i="2"/>
  <c r="K13" i="2"/>
  <c r="L12" i="2"/>
  <c r="M12" i="2" s="1"/>
  <c r="N12" i="2" s="1"/>
  <c r="K12" i="2"/>
  <c r="S5" i="2" s="1"/>
  <c r="L11" i="2"/>
  <c r="M11" i="2" s="1"/>
  <c r="N11" i="2" s="1"/>
  <c r="K11" i="2"/>
  <c r="L10" i="2"/>
  <c r="M10" i="2" s="1"/>
  <c r="N10" i="2" s="1"/>
  <c r="K10" i="2"/>
  <c r="L9" i="2"/>
  <c r="M9" i="2" s="1"/>
  <c r="N9" i="2" s="1"/>
  <c r="K9" i="2"/>
  <c r="S9" i="2" s="1"/>
  <c r="L8" i="2"/>
  <c r="M8" i="2" s="1"/>
  <c r="N8" i="2" s="1"/>
  <c r="K8" i="2"/>
  <c r="L7" i="2"/>
  <c r="M7" i="2" s="1"/>
  <c r="N7" i="2" s="1"/>
  <c r="K7" i="2"/>
  <c r="L6" i="2"/>
  <c r="M6" i="2" s="1"/>
  <c r="N6" i="2" s="1"/>
  <c r="K6" i="2"/>
  <c r="L5" i="2"/>
  <c r="M5" i="2" s="1"/>
  <c r="N5" i="2" s="1"/>
  <c r="K5" i="2"/>
  <c r="S4" i="2" s="1"/>
  <c r="L4" i="2"/>
  <c r="M4" i="2" s="1"/>
  <c r="N4" i="2" s="1"/>
  <c r="K4" i="2"/>
  <c r="S11" i="2" s="1"/>
  <c r="L3" i="2"/>
  <c r="M3" i="2" s="1"/>
  <c r="N3" i="2" s="1"/>
  <c r="K3" i="2"/>
  <c r="S3" i="2" s="1"/>
  <c r="M2" i="2"/>
  <c r="L2" i="2"/>
  <c r="K2" i="2"/>
  <c r="F3" i="3" l="1"/>
  <c r="F4" i="3"/>
  <c r="F2" i="3"/>
  <c r="F5" i="3"/>
  <c r="I9" i="3"/>
  <c r="D29" i="3"/>
  <c r="E5" i="3"/>
  <c r="I11" i="3"/>
  <c r="F10" i="3"/>
  <c r="F13" i="3"/>
  <c r="I3" i="3"/>
  <c r="D10" i="3"/>
  <c r="D4" i="3"/>
  <c r="D6" i="3" s="1"/>
  <c r="D9" i="3"/>
  <c r="F9" i="3"/>
  <c r="F12" i="3"/>
  <c r="B14" i="3"/>
  <c r="G11" i="3" s="1"/>
  <c r="E26" i="3"/>
  <c r="D13" i="3"/>
  <c r="D26" i="3"/>
  <c r="E3" i="3"/>
  <c r="D27" i="3"/>
  <c r="N106" i="2"/>
  <c r="N118" i="2"/>
  <c r="N130" i="2"/>
  <c r="N142" i="2"/>
  <c r="N154" i="2"/>
  <c r="N166" i="2"/>
  <c r="N100" i="2"/>
  <c r="N124" i="2"/>
  <c r="N136" i="2"/>
  <c r="N148" i="2"/>
  <c r="N160" i="2"/>
  <c r="S12" i="2"/>
  <c r="T12" i="2" s="1"/>
  <c r="K170" i="2"/>
  <c r="T14" i="2" s="1"/>
  <c r="N112" i="2"/>
  <c r="N2" i="2"/>
  <c r="N15" i="2"/>
  <c r="N24" i="2"/>
  <c r="N42" i="2"/>
  <c r="N60" i="2"/>
  <c r="N78" i="2"/>
  <c r="N94" i="2"/>
  <c r="S17" i="2"/>
  <c r="T17" i="2" s="1"/>
  <c r="D14" i="3" l="1"/>
  <c r="E9" i="3"/>
  <c r="F6" i="3"/>
  <c r="E13" i="3"/>
  <c r="G13" i="3"/>
  <c r="G9" i="3"/>
  <c r="G12" i="3"/>
  <c r="G10" i="3"/>
  <c r="N170" i="2"/>
  <c r="T5" i="2"/>
  <c r="T3" i="2"/>
  <c r="T4" i="2"/>
  <c r="T2" i="2"/>
  <c r="T18" i="2"/>
  <c r="T10" i="2"/>
  <c r="T11" i="2"/>
  <c r="T15" i="2"/>
  <c r="T16" i="2"/>
  <c r="T9" i="2"/>
  <c r="T13" i="2"/>
  <c r="E11" i="3" l="1"/>
  <c r="E12" i="3"/>
  <c r="E10" i="3"/>
</calcChain>
</file>

<file path=xl/sharedStrings.xml><?xml version="1.0" encoding="utf-8"?>
<sst xmlns="http://schemas.openxmlformats.org/spreadsheetml/2006/main" count="2706" uniqueCount="367">
  <si>
    <t>Brightline Supplies Ltd - Sales Export</t>
  </si>
  <si>
    <t>Generated from Orbit ERP | Q4 2025 | Do not edit source</t>
  </si>
  <si>
    <t>Order ID</t>
  </si>
  <si>
    <t>Order Date</t>
  </si>
  <si>
    <t>Customer Name</t>
  </si>
  <si>
    <t>Region</t>
  </si>
  <si>
    <t>Sales Rep</t>
  </si>
  <si>
    <t>Product</t>
  </si>
  <si>
    <t>Category</t>
  </si>
  <si>
    <t>Units</t>
  </si>
  <si>
    <t>Unit Price</t>
  </si>
  <si>
    <t>Payment Terms</t>
  </si>
  <si>
    <t>BS-1173</t>
  </si>
  <si>
    <t>Lyndon Architects</t>
  </si>
  <si>
    <t xml:space="preserve">North </t>
  </si>
  <si>
    <t>Priya Nair</t>
  </si>
  <si>
    <t>Toner Cartridge - Colour</t>
  </si>
  <si>
    <t>Print</t>
  </si>
  <si>
    <t>£94.75</t>
  </si>
  <si>
    <t>Net 30</t>
  </si>
  <si>
    <t>BS-1105</t>
  </si>
  <si>
    <t>Marlow Accountancy</t>
  </si>
  <si>
    <t>midlands</t>
  </si>
  <si>
    <t>Tom Reilly</t>
  </si>
  <si>
    <t>Toner Cartridge - Black</t>
  </si>
  <si>
    <t>30 Days</t>
  </si>
  <si>
    <t>BS-1142</t>
  </si>
  <si>
    <t>MIDLANDS</t>
  </si>
  <si>
    <t>Aisha Karim</t>
  </si>
  <si>
    <t>Whiteboard 1200mm</t>
  </si>
  <si>
    <t>Furniture</t>
  </si>
  <si>
    <t>BS-1003</t>
  </si>
  <si>
    <t>Oakfield Dental</t>
  </si>
  <si>
    <t>Scotland</t>
  </si>
  <si>
    <t>Ellie Cross</t>
  </si>
  <si>
    <t>30 days</t>
  </si>
  <si>
    <t>BS-1085</t>
  </si>
  <si>
    <t>Halston Group</t>
  </si>
  <si>
    <t>North</t>
  </si>
  <si>
    <t>Recycling Bin 60L</t>
  </si>
  <si>
    <t>Janitorial</t>
  </si>
  <si>
    <t>BS-1143</t>
  </si>
  <si>
    <t>Verity Print</t>
  </si>
  <si>
    <t>Midlands</t>
  </si>
  <si>
    <t xml:space="preserve">  Priya Nair </t>
  </si>
  <si>
    <t>BS-1019</t>
  </si>
  <si>
    <t>Northgate Facilities</t>
  </si>
  <si>
    <t>Hand Sanitiser 5L</t>
  </si>
  <si>
    <t>14 days</t>
  </si>
  <si>
    <t>BS-1059</t>
  </si>
  <si>
    <t xml:space="preserve">Verity Print  </t>
  </si>
  <si>
    <t>Height-Adjustable Desk</t>
  </si>
  <si>
    <t>£340.00</t>
  </si>
  <si>
    <t>BS-1002</t>
  </si>
  <si>
    <t>Wharton Care Homes</t>
  </si>
  <si>
    <t>BS-1132</t>
  </si>
  <si>
    <t>02/12/2025</t>
  </si>
  <si>
    <t>Kestrel Logistics</t>
  </si>
  <si>
    <t xml:space="preserve">  Tom Reilly </t>
  </si>
  <si>
    <t>BS-1062</t>
  </si>
  <si>
    <t>South</t>
  </si>
  <si>
    <t>BS-1126</t>
  </si>
  <si>
    <t>south</t>
  </si>
  <si>
    <t>Dan Osei</t>
  </si>
  <si>
    <t>BS-1147</t>
  </si>
  <si>
    <t>BS-1124</t>
  </si>
  <si>
    <t>16/10/2025</t>
  </si>
  <si>
    <t xml:space="preserve">Scotland </t>
  </si>
  <si>
    <t>Lever Arch Files (Pack 10)</t>
  </si>
  <si>
    <t>Stationery</t>
  </si>
  <si>
    <t>BS-1024</t>
  </si>
  <si>
    <t>27/11/2025</t>
  </si>
  <si>
    <t>BS-1115</t>
  </si>
  <si>
    <t>BS-1176</t>
  </si>
  <si>
    <t>09/11/2025</t>
  </si>
  <si>
    <t>Redcliffe Legal</t>
  </si>
  <si>
    <t>n/a</t>
  </si>
  <si>
    <t>BS-1134</t>
  </si>
  <si>
    <t xml:space="preserve">Kestrel Logistics  </t>
  </si>
  <si>
    <t xml:space="preserve"> South</t>
  </si>
  <si>
    <t>£44.00</t>
  </si>
  <si>
    <t>BS-1139</t>
  </si>
  <si>
    <t>60 days</t>
  </si>
  <si>
    <t>BS-1177</t>
  </si>
  <si>
    <t>BS-1101</t>
  </si>
  <si>
    <t>17</t>
  </si>
  <si>
    <t>BS-1089</t>
  </si>
  <si>
    <t>Fenwick Travel</t>
  </si>
  <si>
    <t xml:space="preserve"> North</t>
  </si>
  <si>
    <t xml:space="preserve">  Dan Osei </t>
  </si>
  <si>
    <t>£18.40</t>
  </si>
  <si>
    <t>BS-1095</t>
  </si>
  <si>
    <t>BS-1145</t>
  </si>
  <si>
    <t>33</t>
  </si>
  <si>
    <t>BS-1151</t>
  </si>
  <si>
    <t>Ashby Engineering</t>
  </si>
  <si>
    <t>BS-1113</t>
  </si>
  <si>
    <t>12/12/2025</t>
  </si>
  <si>
    <t xml:space="preserve">Sandbrook Academy  </t>
  </si>
  <si>
    <t>38</t>
  </si>
  <si>
    <t>BS-1053</t>
  </si>
  <si>
    <t xml:space="preserve">  Ellie Cross </t>
  </si>
  <si>
    <t>A4 Copier Paper (Box)</t>
  </si>
  <si>
    <t>Paper</t>
  </si>
  <si>
    <t>BS-1118</t>
  </si>
  <si>
    <t>scotland</t>
  </si>
  <si>
    <t>BS-1069</t>
  </si>
  <si>
    <t>40</t>
  </si>
  <si>
    <t>BS-1014</t>
  </si>
  <si>
    <t>Pinnacle Recruitment</t>
  </si>
  <si>
    <t xml:space="preserve">Midlands </t>
  </si>
  <si>
    <t>BS-1172</t>
  </si>
  <si>
    <t>BS-1152</t>
  </si>
  <si>
    <t>Trentham Motors</t>
  </si>
  <si>
    <t>7</t>
  </si>
  <si>
    <t>£76.50</t>
  </si>
  <si>
    <t>BS-1022</t>
  </si>
  <si>
    <t>BS-1048</t>
  </si>
  <si>
    <t xml:space="preserve">Bramley &amp; Co  </t>
  </si>
  <si>
    <t>Ergonomic Desk Chair</t>
  </si>
  <si>
    <t>BS-1010</t>
  </si>
  <si>
    <t xml:space="preserve">Fenwick Travel  </t>
  </si>
  <si>
    <t>Ballpoint Pens (Pack 50)</t>
  </si>
  <si>
    <t>26</t>
  </si>
  <si>
    <t>BS-1039</t>
  </si>
  <si>
    <t>BS-1052</t>
  </si>
  <si>
    <t>BS-1165</t>
  </si>
  <si>
    <t>BS-1167</t>
  </si>
  <si>
    <t>£24.50</t>
  </si>
  <si>
    <t>BS-1112</t>
  </si>
  <si>
    <t>28</t>
  </si>
  <si>
    <t>BS-1114</t>
  </si>
  <si>
    <t>BS-1120</t>
  </si>
  <si>
    <t>23/12/2025</t>
  </si>
  <si>
    <t>NORTH</t>
  </si>
  <si>
    <t>BS-1175</t>
  </si>
  <si>
    <t>£12.25</t>
  </si>
  <si>
    <t>BS-1061</t>
  </si>
  <si>
    <t>04/10/2025</t>
  </si>
  <si>
    <t>25</t>
  </si>
  <si>
    <t>BS-1117</t>
  </si>
  <si>
    <t>07/11/2025</t>
  </si>
  <si>
    <t>BS-1043</t>
  </si>
  <si>
    <t>30/12/2025</t>
  </si>
  <si>
    <t>BS-1097</t>
  </si>
  <si>
    <t>12/10/2025</t>
  </si>
  <si>
    <t>BS-1153</t>
  </si>
  <si>
    <t>BS-1087</t>
  </si>
  <si>
    <t xml:space="preserve">Marlow Accountancy  </t>
  </si>
  <si>
    <t>SOUTH</t>
  </si>
  <si>
    <t>BS-1096</t>
  </si>
  <si>
    <t>17/12/2025</t>
  </si>
  <si>
    <t>BS-1009</t>
  </si>
  <si>
    <t>30/10/2025</t>
  </si>
  <si>
    <t>north</t>
  </si>
  <si>
    <t>BS-1020</t>
  </si>
  <si>
    <t>BS-1174</t>
  </si>
  <si>
    <t>BS-1013</t>
  </si>
  <si>
    <t>03/11/2025</t>
  </si>
  <si>
    <t>BS-1136</t>
  </si>
  <si>
    <t xml:space="preserve">Oakfield Dental  </t>
  </si>
  <si>
    <t>BS-1110</t>
  </si>
  <si>
    <t>£189.00</t>
  </si>
  <si>
    <t>BS-1168</t>
  </si>
  <si>
    <t>Sandbrook Academy</t>
  </si>
  <si>
    <t>BS-1072</t>
  </si>
  <si>
    <t>BS-1128</t>
  </si>
  <si>
    <t>31</t>
  </si>
  <si>
    <t>BS-1046</t>
  </si>
  <si>
    <t>14</t>
  </si>
  <si>
    <t>BS-1016</t>
  </si>
  <si>
    <t>11/10/2025</t>
  </si>
  <si>
    <t>BS-1127</t>
  </si>
  <si>
    <t>28/11/2025</t>
  </si>
  <si>
    <t>BS-1035</t>
  </si>
  <si>
    <t>20</t>
  </si>
  <si>
    <t>BS-1031</t>
  </si>
  <si>
    <t>BS-1021</t>
  </si>
  <si>
    <t>03/10/2025</t>
  </si>
  <si>
    <t>BS-1122</t>
  </si>
  <si>
    <t>20/12/2025</t>
  </si>
  <si>
    <t>BS-1155</t>
  </si>
  <si>
    <t xml:space="preserve">Pinnacle Recruitment  </t>
  </si>
  <si>
    <t>BS-1102</t>
  </si>
  <si>
    <t>BS-1025</t>
  </si>
  <si>
    <t>22/12/2025</t>
  </si>
  <si>
    <t>BS-1063</t>
  </si>
  <si>
    <t>30/11/2025</t>
  </si>
  <si>
    <t>BS-1166</t>
  </si>
  <si>
    <t>BS-1076</t>
  </si>
  <si>
    <t>BS-1125</t>
  </si>
  <si>
    <t>BS-1116</t>
  </si>
  <si>
    <t>BS-1149</t>
  </si>
  <si>
    <t xml:space="preserve">Northgate Facilities  </t>
  </si>
  <si>
    <t>37</t>
  </si>
  <si>
    <t>BS-1066</t>
  </si>
  <si>
    <t>BS-1163</t>
  </si>
  <si>
    <t>BS-1065</t>
  </si>
  <si>
    <t>24/11/2025</t>
  </si>
  <si>
    <t>BS-1044</t>
  </si>
  <si>
    <t>BS-1138</t>
  </si>
  <si>
    <t>BS-1055</t>
  </si>
  <si>
    <t>01/11/2025</t>
  </si>
  <si>
    <t>BS-1171</t>
  </si>
  <si>
    <t>BS-1099</t>
  </si>
  <si>
    <t>BS-1068</t>
  </si>
  <si>
    <t>BS-1036</t>
  </si>
  <si>
    <t>BS-1029</t>
  </si>
  <si>
    <t>BS-1079</t>
  </si>
  <si>
    <t>£21.99</t>
  </si>
  <si>
    <t>BS-1054</t>
  </si>
  <si>
    <t>BS-1012</t>
  </si>
  <si>
    <t>18/11/2025</t>
  </si>
  <si>
    <t>BS-1109</t>
  </si>
  <si>
    <t>BS-1027</t>
  </si>
  <si>
    <t>Bramley &amp; Co</t>
  </si>
  <si>
    <t>BS-1041</t>
  </si>
  <si>
    <t>BS-1005</t>
  </si>
  <si>
    <t>07/12/2025</t>
  </si>
  <si>
    <t>BS-1107</t>
  </si>
  <si>
    <t>BS-1133</t>
  </si>
  <si>
    <t>BS-1032</t>
  </si>
  <si>
    <t>4</t>
  </si>
  <si>
    <t>BS-1148</t>
  </si>
  <si>
    <t>BS-1150</t>
  </si>
  <si>
    <t>BS-1131</t>
  </si>
  <si>
    <t xml:space="preserve">Ashby Engineering  </t>
  </si>
  <si>
    <t>BS-1141</t>
  </si>
  <si>
    <t>BS-1006</t>
  </si>
  <si>
    <t>BS-1037</t>
  </si>
  <si>
    <t>18/10/2025</t>
  </si>
  <si>
    <t>BS-1084</t>
  </si>
  <si>
    <t>BS-1156</t>
  </si>
  <si>
    <t xml:space="preserve">Lyndon Architects  </t>
  </si>
  <si>
    <t>BS-1015</t>
  </si>
  <si>
    <t>BS-1001</t>
  </si>
  <si>
    <t>11/11/2025</t>
  </si>
  <si>
    <t>BS-1045</t>
  </si>
  <si>
    <t>BS-1162</t>
  </si>
  <si>
    <t>BS-1088</t>
  </si>
  <si>
    <t>BS-1086</t>
  </si>
  <si>
    <t>21/10/2025</t>
  </si>
  <si>
    <t>BS-1056</t>
  </si>
  <si>
    <t>05/10/2025</t>
  </si>
  <si>
    <t>BS-1161</t>
  </si>
  <si>
    <t>BS-1067</t>
  </si>
  <si>
    <t>BS-1158</t>
  </si>
  <si>
    <t>BS-1123</t>
  </si>
  <si>
    <t>BS-1140</t>
  </si>
  <si>
    <t>17/11/2025</t>
  </si>
  <si>
    <t>BS-1108</t>
  </si>
  <si>
    <t>BS-1159</t>
  </si>
  <si>
    <t>BS-1164</t>
  </si>
  <si>
    <t>BS-1121</t>
  </si>
  <si>
    <t>BS-1082</t>
  </si>
  <si>
    <t>BS-1081</t>
  </si>
  <si>
    <t>27/10/2025</t>
  </si>
  <si>
    <t>BS-1130</t>
  </si>
  <si>
    <t>BS-1154</t>
  </si>
  <si>
    <t>BS-1135</t>
  </si>
  <si>
    <t>BS-1098</t>
  </si>
  <si>
    <t>BS-1040</t>
  </si>
  <si>
    <t>16/12/2025</t>
  </si>
  <si>
    <t>BS-1078</t>
  </si>
  <si>
    <t>31/10/2025</t>
  </si>
  <si>
    <t xml:space="preserve">Trentham Motors  </t>
  </si>
  <si>
    <t>BS-1051</t>
  </si>
  <si>
    <t>19/11/2025</t>
  </si>
  <si>
    <t>BS-1111</t>
  </si>
  <si>
    <t>BS-1042</t>
  </si>
  <si>
    <t>BS-1137</t>
  </si>
  <si>
    <t xml:space="preserve">Wharton Care Homes  </t>
  </si>
  <si>
    <t>£68.00</t>
  </si>
  <si>
    <t>BS-1157</t>
  </si>
  <si>
    <t>BS-1011</t>
  </si>
  <si>
    <t>26/11/2025</t>
  </si>
  <si>
    <t>BS-1057</t>
  </si>
  <si>
    <t>BS-1070</t>
  </si>
  <si>
    <t>BS-1030</t>
  </si>
  <si>
    <t>BS-1075</t>
  </si>
  <si>
    <t>BS-1047</t>
  </si>
  <si>
    <t>BS-1026</t>
  </si>
  <si>
    <t>05/12/2025</t>
  </si>
  <si>
    <t>BS-1091</t>
  </si>
  <si>
    <t>02/10/2025</t>
  </si>
  <si>
    <t>BS-1160</t>
  </si>
  <si>
    <t xml:space="preserve">Redcliffe Legal  </t>
  </si>
  <si>
    <t>BS-1064</t>
  </si>
  <si>
    <t>BS-1007</t>
  </si>
  <si>
    <t>BS-1106</t>
  </si>
  <si>
    <t>BS-1090</t>
  </si>
  <si>
    <t>BS-1094</t>
  </si>
  <si>
    <t>26/10/2025</t>
  </si>
  <si>
    <t>BS-1008</t>
  </si>
  <si>
    <t>BS-1179</t>
  </si>
  <si>
    <t>BS-1071</t>
  </si>
  <si>
    <t>BS-1034</t>
  </si>
  <si>
    <t xml:space="preserve">  Aisha Karim </t>
  </si>
  <si>
    <t>BS-1119</t>
  </si>
  <si>
    <t>BS-1104</t>
  </si>
  <si>
    <t>BS-1092</t>
  </si>
  <si>
    <t>BS-1073</t>
  </si>
  <si>
    <t>BS-1103</t>
  </si>
  <si>
    <t>BS-1033</t>
  </si>
  <si>
    <t>BS-1074</t>
  </si>
  <si>
    <t>BS-1058</t>
  </si>
  <si>
    <t>BS-1180</t>
  </si>
  <si>
    <t>15/12/2025</t>
  </si>
  <si>
    <t>BS-1017</t>
  </si>
  <si>
    <t>BS-1050</t>
  </si>
  <si>
    <t>BS-1077</t>
  </si>
  <si>
    <t>BS-1129</t>
  </si>
  <si>
    <t>BS-1093</t>
  </si>
  <si>
    <t>14/10/2025</t>
  </si>
  <si>
    <t>BS-1144</t>
  </si>
  <si>
    <t>BS-1018</t>
  </si>
  <si>
    <t>30</t>
  </si>
  <si>
    <t>BS-1028</t>
  </si>
  <si>
    <t>21/11/2025</t>
  </si>
  <si>
    <t>BS-1170</t>
  </si>
  <si>
    <t>BS-1049</t>
  </si>
  <si>
    <t>BS-1083</t>
  </si>
  <si>
    <t>BS-1060</t>
  </si>
  <si>
    <t>BS-1178</t>
  </si>
  <si>
    <t>35</t>
  </si>
  <si>
    <t>BS-1023</t>
  </si>
  <si>
    <t>BS-1100</t>
  </si>
  <si>
    <t>BS-1004</t>
  </si>
  <si>
    <t xml:space="preserve">Halston Group  </t>
  </si>
  <si>
    <t>BS-1080</t>
  </si>
  <si>
    <t>BS-1038</t>
  </si>
  <si>
    <t>BS-1146</t>
  </si>
  <si>
    <t>06/10/2025</t>
  </si>
  <si>
    <t>BS-1169</t>
  </si>
  <si>
    <t>Net Revenue</t>
  </si>
  <si>
    <t>discount</t>
  </si>
  <si>
    <t>Discount Percentage</t>
  </si>
  <si>
    <t>Actual Revenue</t>
  </si>
  <si>
    <t>Region2</t>
  </si>
  <si>
    <t>Revenue</t>
  </si>
  <si>
    <t>share of total revenue</t>
  </si>
  <si>
    <t>Product Category</t>
  </si>
  <si>
    <t>Share of Total Revenue</t>
  </si>
  <si>
    <t>Unassigned</t>
  </si>
  <si>
    <t>Budget</t>
  </si>
  <si>
    <t>Variance</t>
  </si>
  <si>
    <t>Achieved %</t>
  </si>
  <si>
    <t>% Of Total Revenue</t>
  </si>
  <si>
    <t>Budget Units</t>
  </si>
  <si>
    <t>Units Achieved</t>
  </si>
  <si>
    <t>Discount Rate</t>
  </si>
  <si>
    <t>region</t>
  </si>
  <si>
    <t>Revenue vs Budget</t>
  </si>
  <si>
    <t>Units vs Budget</t>
  </si>
  <si>
    <t>Total</t>
  </si>
  <si>
    <t>% of Total Variance</t>
  </si>
  <si>
    <t>% of Total Revenue</t>
  </si>
  <si>
    <t>% Of total Units</t>
  </si>
  <si>
    <t>units</t>
  </si>
  <si>
    <t xml:space="preserve">Budget for Each Category </t>
  </si>
  <si>
    <t>Revenue Of each item in the North</t>
  </si>
  <si>
    <t>Number of Units of each item in the North</t>
  </si>
  <si>
    <t>Percentage of Net Revenue of each item in the north of the total revenue of said Item</t>
  </si>
  <si>
    <t>Units Percentage of each item sold in the north part of the total amount of items sold</t>
  </si>
  <si>
    <t>Revenue Of each item in Scotland</t>
  </si>
  <si>
    <t>Number of Units of each item in Scotland</t>
  </si>
  <si>
    <t>Percentage of Net Revenue of each item in Scotland of the total revenue of said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</si>
</sst>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&quot;£&quot;#,##0.00"/>
    <numFmt numFmtId="165" formatCode="_-[$£-809]* #,##0.00_-;\-[$£-809]* #,##0.00_-;_-[$£-809]* &quot;-&quot;??_-;_-@_-"/>
    <numFmt numFmtId="166" formatCode="0.0%"/>
    <numFmt numFmtId="167" formatCode="&quot;£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theme="4" tint="0.5999938962981048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ck">
        <color rgb="FFFFFFFF"/>
      </top>
      <bottom/>
      <diagonal/>
    </border>
    <border>
      <left style="thin">
        <color rgb="FFFFFFFF"/>
      </left>
      <right style="thin">
        <color rgb="FFFFFFFF"/>
      </right>
      <top style="thick">
        <color rgb="FFFFFFFF"/>
      </top>
      <bottom/>
      <diagonal/>
    </border>
    <border>
      <left style="thin">
        <color rgb="FFFFFFFF"/>
      </left>
      <right/>
      <top style="thick">
        <color rgb="FFFFFFFF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2" fontId="5" fillId="0" borderId="0" xfId="0" applyNumberFormat="1" applyFont="1"/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5" fillId="0" borderId="0" xfId="0" applyNumberFormat="1" applyFont="1"/>
    <xf numFmtId="164" fontId="5" fillId="0" borderId="1" xfId="0" applyNumberFormat="1" applyFont="1" applyBorder="1"/>
    <xf numFmtId="165" fontId="0" fillId="0" borderId="0" xfId="0" applyNumberFormat="1"/>
    <xf numFmtId="9" fontId="0" fillId="0" borderId="0" xfId="0" applyNumberFormat="1"/>
    <xf numFmtId="0" fontId="6" fillId="2" borderId="1" xfId="0" applyFont="1" applyFill="1" applyBorder="1"/>
    <xf numFmtId="0" fontId="6" fillId="3" borderId="1" xfId="0" applyFont="1" applyFill="1" applyBorder="1"/>
    <xf numFmtId="164" fontId="5" fillId="0" borderId="2" xfId="0" applyNumberFormat="1" applyFont="1" applyBorder="1"/>
    <xf numFmtId="164" fontId="0" fillId="0" borderId="0" xfId="0" applyNumberFormat="1"/>
    <xf numFmtId="166" fontId="0" fillId="0" borderId="0" xfId="0" applyNumberForma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10" fontId="0" fillId="0" borderId="0" xfId="0" applyNumberFormat="1"/>
    <xf numFmtId="0" fontId="0" fillId="5" borderId="6" xfId="0" applyFill="1" applyBorder="1"/>
    <xf numFmtId="0" fontId="0" fillId="6" borderId="0" xfId="0" applyFill="1"/>
    <xf numFmtId="164" fontId="8" fillId="0" borderId="0" xfId="0" applyNumberFormat="1" applyFont="1"/>
    <xf numFmtId="167" fontId="8" fillId="0" borderId="0" xfId="0" applyNumberFormat="1" applyFont="1"/>
    <xf numFmtId="10" fontId="8" fillId="0" borderId="0" xfId="0" applyNumberFormat="1" applyFont="1"/>
    <xf numFmtId="0" fontId="8" fillId="0" borderId="0" xfId="0" applyFont="1"/>
    <xf numFmtId="10" fontId="0" fillId="0" borderId="6" xfId="0" applyNumberFormat="1" applyBorder="1"/>
    <xf numFmtId="164" fontId="8" fillId="0" borderId="7" xfId="0" applyNumberFormat="1" applyFont="1" applyBorder="1"/>
    <xf numFmtId="167" fontId="8" fillId="0" borderId="7" xfId="0" applyNumberFormat="1" applyFont="1" applyBorder="1"/>
    <xf numFmtId="10" fontId="8" fillId="0" borderId="7" xfId="0" applyNumberFormat="1" applyFont="1" applyBorder="1"/>
    <xf numFmtId="0" fontId="8" fillId="0" borderId="7" xfId="0" applyFont="1" applyBorder="1"/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/>
    <xf numFmtId="0" fontId="9" fillId="7" borderId="8" xfId="0" applyFont="1" applyFill="1" applyBorder="1"/>
    <xf numFmtId="0" fontId="9" fillId="7" borderId="9" xfId="0" applyFont="1" applyFill="1" applyBorder="1"/>
    <xf numFmtId="0" fontId="9" fillId="7" borderId="10" xfId="0" applyFont="1" applyFill="1" applyBorder="1"/>
    <xf numFmtId="3" fontId="0" fillId="0" borderId="0" xfId="0" applyNumberFormat="1"/>
    <xf numFmtId="0" fontId="10" fillId="8" borderId="11" xfId="0" applyFont="1" applyFill="1" applyBorder="1"/>
    <xf numFmtId="164" fontId="10" fillId="8" borderId="12" xfId="0" applyNumberFormat="1" applyFont="1" applyFill="1" applyBorder="1"/>
    <xf numFmtId="3" fontId="10" fillId="8" borderId="13" xfId="0" applyNumberFormat="1" applyFont="1" applyFill="1" applyBorder="1"/>
    <xf numFmtId="0" fontId="10" fillId="9" borderId="11" xfId="0" applyFont="1" applyFill="1" applyBorder="1"/>
    <xf numFmtId="164" fontId="10" fillId="9" borderId="12" xfId="0" applyNumberFormat="1" applyFont="1" applyFill="1" applyBorder="1"/>
    <xf numFmtId="3" fontId="10" fillId="9" borderId="13" xfId="0" applyNumberFormat="1" applyFont="1" applyFill="1" applyBorder="1"/>
    <xf numFmtId="0" fontId="9" fillId="7" borderId="14" xfId="0" applyFont="1" applyFill="1" applyBorder="1"/>
    <xf numFmtId="164" fontId="9" fillId="7" borderId="15" xfId="0" applyNumberFormat="1" applyFont="1" applyFill="1" applyBorder="1"/>
    <xf numFmtId="3" fontId="9" fillId="7" borderId="16" xfId="0" applyNumberFormat="1" applyFont="1" applyFill="1" applyBorder="1"/>
    <xf numFmtId="0" fontId="9" fillId="7" borderId="0" xfId="0" applyFont="1" applyFill="1"/>
  </cellXfs>
  <cellStyles count="2">
    <cellStyle name="Currency 2" xfId="1" xr:uid="{0D546475-C54A-FE4A-9DCB-593C34DCA01E}"/>
    <cellStyle name="Normal" xfId="0" builtinId="0"/>
  </cellStyles>
  <dxfs count="76">
    <dxf>
      <numFmt numFmtId="14" formatCode="0.00%"/>
    </dxf>
    <dxf>
      <numFmt numFmtId="164" formatCode="&quot;£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  <dxf>
      <numFmt numFmtId="14" formatCode="0.00%"/>
    </dxf>
    <dxf>
      <numFmt numFmtId="164" formatCode="&quot;£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  <dxf>
      <numFmt numFmtId="164" formatCode="&quot;£&quot;#,##0.00"/>
    </dxf>
    <dxf>
      <numFmt numFmtId="3" formatCode="#,##0"/>
    </dxf>
    <dxf>
      <numFmt numFmtId="3" formatCode="#,##0"/>
    </dxf>
    <dxf>
      <numFmt numFmtId="164" formatCode="&quot;£&quot;#,##0.00"/>
    </dxf>
    <dxf>
      <numFmt numFmtId="164" formatCode="&quot;£&quot;#,##0.00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numFmt numFmtId="164" formatCode="&quot;£&quot;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£&quot;#,##0.00"/>
      <fill>
        <patternFill patternType="none">
          <fgColor indexed="64"/>
          <bgColor auto="1"/>
        </patternFill>
      </fill>
    </dxf>
    <dxf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&quot;£&quot;#,##0"/>
      <fill>
        <patternFill patternType="none">
          <fgColor indexed="64"/>
          <bgColor auto="1"/>
        </patternFill>
      </fill>
    </dxf>
    <dxf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£&quot;#,##0.00"/>
      <fill>
        <patternFill patternType="none">
          <fgColor indexed="64"/>
          <bgColor auto="1"/>
        </patternFill>
      </fill>
    </dxf>
    <dxf>
      <numFmt numFmtId="164" formatCode="&quot;£&quot;#,##0.00"/>
    </dxf>
    <dxf>
      <fill>
        <patternFill patternType="solid">
          <fgColor indexed="64"/>
          <bgColor theme="4" tint="0.59999389629810485"/>
        </patternFill>
      </fill>
    </dxf>
    <dxf>
      <numFmt numFmtId="166" formatCode="0.0%"/>
    </dxf>
    <dxf>
      <numFmt numFmtId="164" formatCode="&quot;£&quot;#,##0.00"/>
    </dxf>
    <dxf>
      <numFmt numFmtId="13" formatCode="0%"/>
    </dxf>
    <dxf>
      <numFmt numFmtId="165" formatCode="_-[$£-809]* #,##0.00_-;\-[$£-809]* #,##0.00_-;_-[$£-809]* &quot;-&quot;??_-;_-@_-"/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£&quot;#,##0.00"/>
    </dxf>
    <dxf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£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&quot;£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basraza/Downloads/stuff%20to%20do%20with%20my%20identity/skool%20sage%20community%20proper/excel/Brightline_Supplies_Sales_Data_Portfolio.xlsx" TargetMode="External"/><Relationship Id="rId1" Type="http://schemas.openxmlformats.org/officeDocument/2006/relationships/externalLinkPath" Target="/Users/abbasraza/Downloads/stuff%20to%20do%20with%20my%20identity/skool%20sage%20community%20proper/excel/Brightline_Supplies_Sales_Data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ief"/>
      <sheetName val="Discount"/>
      <sheetName val="Q4 Sales Export Edit"/>
      <sheetName val="Budget"/>
      <sheetName val="Analysis"/>
      <sheetName val="Dashboard 2"/>
      <sheetName val="Category"/>
      <sheetName val="Dashboard"/>
      <sheetName val="Q4 Sales Export"/>
      <sheetName val="Documen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4E7F1-98DD-794F-B9F2-FC3DFABB93B7}" name="Units_Vs_Discount" displayName="Units_Vs_Discount" ref="A1:J6" totalsRowCount="1">
  <autoFilter ref="A1:J5" xr:uid="{30BE761A-7089-4B43-BE4C-1B7D15C0F9F0}"/>
  <tableColumns count="10">
    <tableColumn id="1" xr3:uid="{C58570F4-0936-FD4C-B2F2-5F2322CDD13E}" name="Region" totalsRowLabel="Total" dataDxfId="42"/>
    <tableColumn id="2" xr3:uid="{38E76495-085F-2E4D-82E8-20300528220A}" name="Net Revenue" totalsRowFunction="custom" dataDxfId="40" totalsRowDxfId="41">
      <calculatedColumnFormula>SUMIFS([1]!tbl_Sales[Net Revenue], [1]!tbl_Sales[Region],$A2)</calculatedColumnFormula>
      <totalsRowFormula>SUM(Units_Vs_Discount[Net Revenue])</totalsRowFormula>
    </tableColumn>
    <tableColumn id="3" xr3:uid="{ACC24AFF-EBF7-D247-AD18-59AF29C47BF7}" name="Budget" totalsRowFunction="custom" dataDxfId="38" totalsRowDxfId="39">
      <calculatedColumnFormula>_xlfn.XLOOKUP(A2, [1]!Budget[Region], [1]!Budget[Q4 Budget Revenue])</calculatedColumnFormula>
      <totalsRowFormula>SUM(Units_Vs_Discount[Budget])</totalsRowFormula>
    </tableColumn>
    <tableColumn id="4" xr3:uid="{246E9DF7-6B48-C249-BB61-242705E717C4}" name="Variance" totalsRowFunction="custom" dataDxfId="36" totalsRowDxfId="37">
      <calculatedColumnFormula>Units_Vs_Discount[[#This Row],[Net Revenue]]-Units_Vs_Discount[[#This Row],[Budget]]</calculatedColumnFormula>
      <totalsRowFormula>SUM(Units_Vs_Discount[Variance])</totalsRowFormula>
    </tableColumn>
    <tableColumn id="5" xr3:uid="{5FE6D4D4-731E-9940-92FD-59991C4DD4C7}" name="Achieved %" dataDxfId="34" totalsRowDxfId="35">
      <calculatedColumnFormula>Units_Vs_Discount[[#This Row],[Net Revenue]]/Units_Vs_Discount[[#This Row],[Budget]]</calculatedColumnFormula>
    </tableColumn>
    <tableColumn id="10" xr3:uid="{F73544A0-7127-4B4C-BB3E-36E352ED5B4D}" name="% Of Total Revenue" totalsRowFunction="custom" dataDxfId="32" totalsRowDxfId="33">
      <calculatedColumnFormula>Units_Vs_Discount[[#This Row],[Net Revenue]]/$B$6</calculatedColumnFormula>
      <totalsRowFormula>SUM(Units_Vs_Discount[% Of Total Revenue])</totalsRowFormula>
    </tableColumn>
    <tableColumn id="6" xr3:uid="{59A38EF6-1AD2-1D44-B10A-C73A918F47B2}" name="Units" totalsRowFunction="custom" dataDxfId="30" totalsRowDxfId="31">
      <calculatedColumnFormula>SUMIFS([1]!tbl_Sales[Units], [1]!tbl_Sales[Region], Units_Vs_Discount[[#This Row],[Region]])</calculatedColumnFormula>
      <totalsRowFormula>SUM(Units_Vs_Discount[Units])</totalsRowFormula>
    </tableColumn>
    <tableColumn id="7" xr3:uid="{1B1BE9EE-BDF9-1948-88FA-0F06C09A0E65}" name="Budget Units" totalsRowFunction="custom" dataDxfId="28" totalsRowDxfId="29">
      <calculatedColumnFormula>_xlfn.XLOOKUP(Units_Vs_Discount[[#This Row],[Region]], [1]!Budget[Region], [1]!Budget[Q4 Budget Units])</calculatedColumnFormula>
      <totalsRowFormula>SUM(Units_Vs_Discount[Budget Units])</totalsRowFormula>
    </tableColumn>
    <tableColumn id="8" xr3:uid="{E590AE48-F074-1448-8C86-BBABCFEBA32A}" name="Units Achieved" dataDxfId="26" totalsRowDxfId="27">
      <calculatedColumnFormula>Units_Vs_Discount[[#This Row],[Units]]/Units_Vs_Discount[[#This Row],[Budget Units]]</calculatedColumnFormula>
    </tableColumn>
    <tableColumn id="9" xr3:uid="{7A666C33-5753-424E-8125-DEFC7DC3EAFC}" name="Discount Rate" totalsRowFunction="custom" dataDxfId="24" totalsRowDxfId="25">
      <calculatedColumnFormula>1-(SUMIFS([1]!tbl_Sales[Actual Revenue], [1]!tbl_Sales[Region], Units_Vs_Discount[[#This Row],[Region]]))/SUMIFS([1]!tbl_Sales[Net Revenue], [1]!tbl_Sales[Region], Units_Vs_Discount[[#This Row],[Region]])</calculatedColumnFormula>
      <totalsRowFormula>SUM(Units_Vs_Discount[Discount Rate])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8B6988-72B4-F146-8260-F0B10A51232E}" name="Category_Budget_2" displayName="Category_Budget_2" ref="A8:I14" totalsRowCount="1" headerRowDxfId="23" headerRowBorderDxfId="22">
  <autoFilter ref="A8:I13" xr:uid="{9BEBA5DA-2A82-8B45-B968-BB974650E168}"/>
  <sortState xmlns:xlrd2="http://schemas.microsoft.com/office/spreadsheetml/2017/richdata2" ref="A9:I13">
    <sortCondition descending="1" ref="E8:E13"/>
  </sortState>
  <tableColumns count="9">
    <tableColumn id="1" xr3:uid="{726D820B-2F26-CB43-B1C2-A3A7A270E414}" name="Category" totalsRowLabel="Total"/>
    <tableColumn id="2" xr3:uid="{12B0FEEB-1AE6-C84C-B3A1-4BD1D16FD2A5}" name="Net Revenue" totalsRowFunction="sum" dataDxfId="20" totalsRowDxfId="21">
      <calculatedColumnFormula>SUMIFS([1]!tbl_Sales[Net Revenue], [1]!tbl_Sales[Category], Category_Budget_2[[#This Row],[Category]])</calculatedColumnFormula>
    </tableColumn>
    <tableColumn id="3" xr3:uid="{07FBAFC3-B69D-C04D-8458-39BC98897B4C}" name="Budget" totalsRowFunction="sum" dataDxfId="18" totalsRowDxfId="19">
      <calculatedColumnFormula>_xlfn.XLOOKUP(Category_Budget_2[[#This Row],[Category]], [1]!Category_Budget_Original[Category], [1]!Category_Budget_Original[Q4 Budget Revenue])</calculatedColumnFormula>
    </tableColumn>
    <tableColumn id="4" xr3:uid="{E76A330A-6CA9-1041-A482-983472630282}" name="Variance" totalsRowFunction="sum" dataDxfId="16" totalsRowDxfId="17">
      <calculatedColumnFormula>Category_Budget_2[[#This Row],[Net Revenue]]-Category_Budget_2[[#This Row],[Budget]]</calculatedColumnFormula>
    </tableColumn>
    <tableColumn id="7" xr3:uid="{64B43D6D-8539-A240-8F7D-FD13666D90C7}" name="% of Total Variance" dataDxfId="15">
      <calculatedColumnFormula>Category_Budget_2[[#This Row],[Variance]]/Category_Budget_2[[#Totals],[Variance]]</calculatedColumnFormula>
    </tableColumn>
    <tableColumn id="5" xr3:uid="{E4288333-7EF5-EF47-BA65-6208601790C6}" name="Achieved %" dataDxfId="14">
      <calculatedColumnFormula>Category_Budget_2[[#This Row],[Net Revenue]]/Category_Budget_2[[#This Row],[Budget]]</calculatedColumnFormula>
    </tableColumn>
    <tableColumn id="8" xr3:uid="{94905F9D-915F-F941-9B35-C75CEF442650}" name="% of Total Revenue" dataDxfId="13">
      <calculatedColumnFormula>Category_Budget_2[[#This Row],[Net Revenue]]/Category_Budget_2[[#Totals],[Net Revenue]]</calculatedColumnFormula>
    </tableColumn>
    <tableColumn id="6" xr3:uid="{BEF10F4E-CAAE-C645-B89E-82E10CDB4680}" name="Units" totalsRowFunction="sum" dataDxfId="12">
      <calculatedColumnFormula>SUMIFS([1]!tbl_Sales[Units], [1]!tbl_Sales[Category], Category_Budget_2[[#This Row],[Category]])</calculatedColumnFormula>
    </tableColumn>
    <tableColumn id="9" xr3:uid="{99B7305A-FC41-E944-BC84-41ADD4F677CA}" name="% Of total Units" dataDxfId="11">
      <calculatedColumnFormula>Category_Budget_2[[#This Row],[Units]]/Category_Budget_2[[#Totals],[Units]]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37B86A-EDF2-D044-8518-7D6934849824}" name="North_and_Scotland" displayName="North_and_Scotland" ref="A16:D22" totalsRowCount="1">
  <autoFilter ref="A16:D21" xr:uid="{A3568A41-8BFD-8E49-BB7C-1BCC8DE9FD5E}"/>
  <tableColumns count="4">
    <tableColumn id="1" xr3:uid="{94EC55A5-CCA0-2945-A629-5391744654F3}" name="North" totalsRowLabel="Total"/>
    <tableColumn id="2" xr3:uid="{6DE44BF2-2E50-2044-B465-4AB50886B20D}" name="Revenue" totalsRowFunction="sum" dataDxfId="9" totalsRowDxfId="10">
      <calculatedColumnFormula>SUMIFS([1]!tbl_Sales[Net Revenue], [1]!tbl_Sales[Category], North_and_Scotland[[#This Row],[North]], [1]!tbl_Sales[Region], North_and_Scotland[[#Headers],[North]])</calculatedColumnFormula>
    </tableColumn>
    <tableColumn id="3" xr3:uid="{64843F0D-4687-E542-A387-16FEB0339ABC}" name="units" totalsRowFunction="sum" dataDxfId="7" totalsRowDxfId="8">
      <calculatedColumnFormula>SUMIFS([1]!tbl_Sales[Units], [1]!tbl_Sales[Category], North_and_Scotland[[#This Row],[North]], [1]!tbl_Sales[Region], North_and_Scotland[[#Headers],[North]])</calculatedColumnFormula>
    </tableColumn>
    <tableColumn id="4" xr3:uid="{63F71E84-5739-3A4A-BBEE-7047AE6F2AC5}" name="Budget for Each Category " dataDxfId="6">
      <calculatedColumnFormula>_xlfn.XLOOKUP(North_and_Scotland[[#This Row],[North]], [1]!Category_Budget_Original[Category], [1]!Category_Budget_Original[Q4 Budget Revenue])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F7406-3B58-9C4E-B726-61454C1291A4}" name="Table11" displayName="Table11" ref="A24:E30" totalsRowShown="0" headerRowDxfId="5">
  <autoFilter ref="A24:E30" xr:uid="{83FC0013-0CCA-004F-8B75-63EE3F04F1DD}"/>
  <tableColumns count="5">
    <tableColumn id="1" xr3:uid="{8F2E2576-6D3C-2B4B-B24E-621F2E17A8DE}" name="North"/>
    <tableColumn id="2" xr3:uid="{61F686B4-6513-4043-9BDA-179EF695D000}" name="Revenue Of each item in the North"/>
    <tableColumn id="3" xr3:uid="{299A839B-FECD-F34A-BBA9-71B4CE1DC1E7}" name="Number of Units of each item in the North"/>
    <tableColumn id="4" xr3:uid="{BEBF373D-B4CB-B648-88BB-67C265C28921}" name="Percentage of Net Revenue of each item in the north of the total revenue of said Item" dataDxfId="4">
      <calculatedColumnFormula>Table11[[#This Row],[Revenue Of each item in the North]]/_xlfn.XLOOKUP(Table11[[#This Row],[North]], [1]!Category_Budget_2[Category], [1]!Category_Budget_2[Net Revenue])</calculatedColumnFormula>
    </tableColumn>
    <tableColumn id="5" xr3:uid="{E53F33F9-C58F-4048-9332-2796E990A0C0}" name="Units Percentage of each item sold in the north part of the total amount of items sold" dataDxfId="3">
      <calculatedColumnFormula>Table11[[#This Row],[Number of Units of each item in the North]]/$C$30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A3BF4D-1A89-2542-B6C6-3498745B94CB}" name="Table1113" displayName="Table1113" ref="A32:E38" totalsRowShown="0" headerRowDxfId="2">
  <autoFilter ref="A32:E38" xr:uid="{A1D7DDC4-B39E-4145-9C2A-87EA54283959}"/>
  <tableColumns count="5">
    <tableColumn id="1" xr3:uid="{C1A709F1-76CE-134C-B38F-7C0578AB569B}" name="Scotland"/>
    <tableColumn id="2" xr3:uid="{C808061E-44F7-1540-A036-92C10BD8EC58}" name="Revenue Of each item in Scotland"/>
    <tableColumn id="3" xr3:uid="{80006A96-74DF-8042-987A-73E75D0619FE}" name="Number of Units of each item in Scotland"/>
    <tableColumn id="4" xr3:uid="{9EE971BD-A18D-8D49-9ED9-4881F9C4C38B}" name="Percentage of Net Revenue of each item in Scotland of the total revenue of said Item" dataDxfId="1">
      <calculatedColumnFormula>Table1113[[#This Row],[Revenue Of each item in Scotland]]/_xlfn.XLOOKUP(Table1113[[#This Row],[Scotland]], [1]!Category_Budget_2[Category], [1]!Category_Budget_2[Net Revenue])</calculatedColumnFormula>
    </tableColumn>
    <tableColumn id="5" xr3:uid="{D7D84662-E8DA-EF45-BF57-5E638DE1E487}" name="Units Percentage of each item sold in the north part of the total amount of items sold" dataDxfId="0">
      <calculatedColumnFormula>Table1113[[#This Row],[Number of Units of each item in Scotland]]/_xlfn.XLOOKUP(Table1113[[#This Row],[Scotland]], [1]!Category_Budget_2[Category], [1]!Category_Budget_2[Units])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824EE-AF9D-304F-B386-6C187708008F}" name="tbl_Sales" displayName="tbl_Sales" ref="A1:N170" totalsRowCount="1" headerRowDxfId="75" dataDxfId="74">
  <autoFilter ref="A1:N169" xr:uid="{C133A9F8-417A-4745-ADB7-1BD4A887826F}"/>
  <tableColumns count="14">
    <tableColumn id="1" xr3:uid="{4344AC10-3860-0848-A8F9-4F1B13F64868}" name="Order ID" dataDxfId="72" totalsRowDxfId="73"/>
    <tableColumn id="2" xr3:uid="{45DD80F8-2FF1-794F-8316-680FD2A4F117}" name="Order Date" dataDxfId="70" totalsRowDxfId="71"/>
    <tableColumn id="3" xr3:uid="{12330BC7-8D67-5D42-AD09-E16774EA8715}" name="Customer Name" dataDxfId="68" totalsRowDxfId="69"/>
    <tableColumn id="4" xr3:uid="{D958B1AA-D952-1B43-B2BF-E5EAC633B1F1}" name="Region" dataDxfId="66" totalsRowDxfId="67"/>
    <tableColumn id="5" xr3:uid="{DE974E33-7B37-8B43-96CF-CB7AA70C4870}" name="Sales Rep" dataDxfId="64" totalsRowDxfId="65"/>
    <tableColumn id="6" xr3:uid="{648E17BC-9122-BE43-8D79-C8B81E725105}" name="Product" dataDxfId="62" totalsRowDxfId="63"/>
    <tableColumn id="7" xr3:uid="{3FEB53E7-BC7B-D546-9524-0DA53A08BADA}" name="Category" dataDxfId="60" totalsRowDxfId="61"/>
    <tableColumn id="8" xr3:uid="{6A1DF605-9293-6945-89F1-3A919B404D94}" name="Units" dataDxfId="58" totalsRowDxfId="59"/>
    <tableColumn id="9" xr3:uid="{E53D4927-B268-4349-A650-230D22496A57}" name="Unit Price" dataDxfId="56" totalsRowDxfId="57" dataCellStyle="Currency" totalsRowCellStyle="Currency"/>
    <tableColumn id="10" xr3:uid="{4A62E617-3AC2-F54B-9E97-EC04693603F0}" name="Payment Terms" dataDxfId="54" totalsRowDxfId="55"/>
    <tableColumn id="16" xr3:uid="{46CCBDA5-F9C6-2B41-913B-157615E9A4DB}" name="Net Revenue" totalsRowFunction="custom" dataDxfId="52" totalsRowDxfId="53">
      <calculatedColumnFormula>tbl_Sales[[#This Row],[Units]] *tbl_Sales[[#This Row],[Unit Price]]</calculatedColumnFormula>
      <totalsRowFormula>SUM(tbl_Sales[Net Revenue])</totalsRowFormula>
    </tableColumn>
    <tableColumn id="17" xr3:uid="{A86FB0E3-CCA7-A643-AD92-813500DBECDC}" name="discount" dataDxfId="51">
      <calculatedColumnFormula>_xlfn.XLOOKUP(tbl_Sales[[#This Row],[Order ID]], [1]!Discount_tbl[Order ID], [1]!Discount_tbl[Discount %], 0)</calculatedColumnFormula>
    </tableColumn>
    <tableColumn id="18" xr3:uid="{A211FEFA-5473-764F-8ADD-8D549BE31AA8}" name="Discount Percentage" dataDxfId="50">
      <calculatedColumnFormula>tbl_Sales[[#This Row],[discount]]/100</calculatedColumnFormula>
    </tableColumn>
    <tableColumn id="19" xr3:uid="{F5368ABF-CA34-CC40-8A5F-8796EC6B4231}" name="Actual Revenue" totalsRowFunction="custom" dataDxfId="48" totalsRowDxfId="49">
      <calculatedColumnFormula>(1-tbl_Sales[[#This Row],[Discount Percentage]]) * tbl_Sales[[#This Row],[Net Revenue]]</calculatedColumnFormula>
      <totalsRowFormula>SUM(tbl_Sales[Actual Revenue])</totalsRow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9A643-07B9-B340-B0FC-29B65FE8FC4B}" name="Table26" displayName="Table26" ref="R1:T5" totalsRowShown="0">
  <autoFilter ref="R1:T5" xr:uid="{DB0F222A-3E49-C846-BC7A-7D96961A776B}"/>
  <tableColumns count="3">
    <tableColumn id="1" xr3:uid="{6F5FD1B3-2C83-BF40-B4A8-0DDF50DC13A1}" name="Region2" dataDxfId="47"/>
    <tableColumn id="2" xr3:uid="{50462F75-45C5-964A-BF5B-E8AE4F5C6AE1}" name="Revenue" dataDxfId="46">
      <calculatedColumnFormula>SUMIFS(tbl_Sales[Net Revenue], tbl_Sales[Region], R2)</calculatedColumnFormula>
    </tableColumn>
    <tableColumn id="3" xr3:uid="{B68846AF-0BCD-C747-B210-16EA5FBE056A}" name="share of total revenue" dataDxfId="45">
      <calculatedColumnFormula>Table26[[#This Row],[Revenue]]/$K$170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858608-79D4-AC4B-B2EE-E4A3A2034F08}" name="Table37" displayName="Table37" ref="R8:T18" totalsRowShown="0">
  <autoFilter ref="R8:T18" xr:uid="{B436FFF8-17AC-C742-AFDE-0EF5BF2AF75F}"/>
  <sortState xmlns:xlrd2="http://schemas.microsoft.com/office/spreadsheetml/2017/richdata2" ref="R9:T18">
    <sortCondition descending="1" ref="T8:T18"/>
  </sortState>
  <tableColumns count="3">
    <tableColumn id="1" xr3:uid="{3FF3A5A0-EA33-8F4D-A0C0-C136494D3AC6}" name="Product Category"/>
    <tableColumn id="2" xr3:uid="{D3738288-D693-904C-9F89-958FD8BBB2C5}" name="Revenue" dataDxfId="44">
      <calculatedColumnFormula>SUMIFS(tbl_Sales[Net Revenue], tbl_Sales[Product], R9)</calculatedColumnFormula>
    </tableColumn>
    <tableColumn id="3" xr3:uid="{0C491DB9-2BEE-2942-BE26-5941EACAC2C9}" name="Share of Total Revenue" dataDxfId="43">
      <calculatedColumnFormula>S9/$K$170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62BB-55A9-FE45-B6CE-CE002E3DF880}">
  <dimension ref="A1:O38"/>
  <sheetViews>
    <sheetView zoomScale="56" workbookViewId="0">
      <selection activeCell="J2" sqref="J2"/>
    </sheetView>
  </sheetViews>
  <sheetFormatPr baseColWidth="10" defaultRowHeight="15" x14ac:dyDescent="0.2"/>
  <cols>
    <col min="1" max="1" width="26.83203125" customWidth="1"/>
    <col min="2" max="2" width="30.6640625" bestFit="1" customWidth="1"/>
    <col min="3" max="3" width="36.33203125" bestFit="1" customWidth="1"/>
    <col min="4" max="4" width="70.6640625" bestFit="1" customWidth="1"/>
    <col min="5" max="5" width="71" bestFit="1" customWidth="1"/>
    <col min="6" max="6" width="18.33203125" bestFit="1" customWidth="1"/>
    <col min="7" max="7" width="18.1640625" bestFit="1" customWidth="1"/>
    <col min="9" max="9" width="15.33203125" bestFit="1" customWidth="1"/>
    <col min="12" max="12" width="15" bestFit="1" customWidth="1"/>
    <col min="13" max="13" width="12.6640625" bestFit="1" customWidth="1"/>
    <col min="14" max="14" width="11.6640625" bestFit="1" customWidth="1"/>
  </cols>
  <sheetData>
    <row r="1" spans="1:15" x14ac:dyDescent="0.2">
      <c r="A1" t="s">
        <v>5</v>
      </c>
      <c r="B1" t="s">
        <v>334</v>
      </c>
      <c r="C1" t="s">
        <v>344</v>
      </c>
      <c r="D1" t="s">
        <v>345</v>
      </c>
      <c r="E1" t="s">
        <v>346</v>
      </c>
      <c r="F1" s="25" t="s">
        <v>347</v>
      </c>
      <c r="G1" t="s">
        <v>9</v>
      </c>
      <c r="H1" t="s">
        <v>348</v>
      </c>
      <c r="I1" t="s">
        <v>349</v>
      </c>
      <c r="J1" t="s">
        <v>350</v>
      </c>
      <c r="L1" s="26" t="s">
        <v>351</v>
      </c>
      <c r="M1" s="26" t="s">
        <v>352</v>
      </c>
      <c r="N1" s="26" t="s">
        <v>353</v>
      </c>
      <c r="O1" s="26" t="s">
        <v>350</v>
      </c>
    </row>
    <row r="2" spans="1:15" x14ac:dyDescent="0.2">
      <c r="A2" s="27" t="s">
        <v>38</v>
      </c>
      <c r="B2" s="28">
        <f>SUMIFS([1]!tbl_Sales[Net Revenue], [1]!tbl_Sales[Region],$A2)</f>
        <v>68319.38</v>
      </c>
      <c r="C2" s="29">
        <f>_xlfn.XLOOKUP(A2, [1]!Budget[Region], [1]!Budget[Q4 Budget Revenue])</f>
        <v>72000</v>
      </c>
      <c r="D2" s="28">
        <f>Units_Vs_Discount[[#This Row],[Net Revenue]]-Units_Vs_Discount[[#This Row],[Budget]]</f>
        <v>-3680.6199999999953</v>
      </c>
      <c r="E2" s="30">
        <f>Units_Vs_Discount[[#This Row],[Net Revenue]]/Units_Vs_Discount[[#This Row],[Budget]]</f>
        <v>0.94888027777777784</v>
      </c>
      <c r="F2" s="30">
        <f>Units_Vs_Discount[[#This Row],[Net Revenue]]/$B$6</f>
        <v>0.21790568157860574</v>
      </c>
      <c r="G2" s="31">
        <f>SUMIFS([1]!tbl_Sales[Units], [1]!tbl_Sales[Region], Units_Vs_Discount[[#This Row],[Region]])</f>
        <v>616</v>
      </c>
      <c r="H2" s="31">
        <f>_xlfn.XLOOKUP(Units_Vs_Discount[[#This Row],[Region]], [1]!Budget[Region], [1]!Budget[Q4 Budget Units])</f>
        <v>620</v>
      </c>
      <c r="I2" s="30">
        <f>Units_Vs_Discount[[#This Row],[Units]]/Units_Vs_Discount[[#This Row],[Budget Units]]</f>
        <v>0.99354838709677418</v>
      </c>
      <c r="J2" s="30">
        <f>1-(SUMIFS([1]!tbl_Sales[Actual Revenue], [1]!tbl_Sales[Region], Units_Vs_Discount[[#This Row],[Region]]))/SUMIFS([1]!tbl_Sales[Net Revenue], [1]!tbl_Sales[Region], Units_Vs_Discount[[#This Row],[Region]])</f>
        <v>0.10756648406352609</v>
      </c>
      <c r="L2" s="26" t="s">
        <v>38</v>
      </c>
      <c r="M2" s="32">
        <v>0.94888027777777784</v>
      </c>
      <c r="N2" s="32">
        <v>0.99354838709677418</v>
      </c>
      <c r="O2" s="32">
        <v>0.10756648406352609</v>
      </c>
    </row>
    <row r="3" spans="1:15" x14ac:dyDescent="0.2">
      <c r="A3" s="27" t="s">
        <v>43</v>
      </c>
      <c r="B3" s="28">
        <f>SUMIFS([1]!tbl_Sales[Net Revenue], [1]!tbl_Sales[Region],$A3)</f>
        <v>84755.73000000001</v>
      </c>
      <c r="C3" s="29">
        <f>_xlfn.XLOOKUP(A3, [1]!Budget[Region], [1]!Budget[Q4 Budget Revenue])</f>
        <v>85000</v>
      </c>
      <c r="D3" s="28">
        <f>Units_Vs_Discount[[#This Row],[Net Revenue]]-Units_Vs_Discount[[#This Row],[Budget]]</f>
        <v>-244.26999999998952</v>
      </c>
      <c r="E3" s="30">
        <f>Units_Vs_Discount[[#This Row],[Net Revenue]]/Units_Vs_Discount[[#This Row],[Budget]]</f>
        <v>0.99712623529411781</v>
      </c>
      <c r="F3" s="30">
        <f>Units_Vs_Discount[[#This Row],[Net Revenue]]/$B$6</f>
        <v>0.27032966507222816</v>
      </c>
      <c r="G3" s="31">
        <f>SUMIFS([1]!tbl_Sales[Units], [1]!tbl_Sales[Region], Units_Vs_Discount[[#This Row],[Region]])</f>
        <v>919</v>
      </c>
      <c r="H3" s="31">
        <f>_xlfn.XLOOKUP(Units_Vs_Discount[[#This Row],[Region]], [1]!Budget[Region], [1]!Budget[Q4 Budget Units])</f>
        <v>920</v>
      </c>
      <c r="I3" s="30">
        <f>Units_Vs_Discount[[#This Row],[Units]]/Units_Vs_Discount[[#This Row],[Budget Units]]</f>
        <v>0.99891304347826082</v>
      </c>
      <c r="J3" s="30">
        <f>1-(SUMIFS([1]!tbl_Sales[Actual Revenue], [1]!tbl_Sales[Region], Units_Vs_Discount[[#This Row],[Region]]))/SUMIFS([1]!tbl_Sales[Net Revenue], [1]!tbl_Sales[Region], Units_Vs_Discount[[#This Row],[Region]])</f>
        <v>6.7098767245590274E-3</v>
      </c>
      <c r="L3" s="26" t="s">
        <v>43</v>
      </c>
      <c r="M3" s="32">
        <v>0.99712623529411781</v>
      </c>
      <c r="N3" s="32">
        <v>0.99891304347826082</v>
      </c>
      <c r="O3" s="32">
        <v>6.7098767245590274E-3</v>
      </c>
    </row>
    <row r="4" spans="1:15" x14ac:dyDescent="0.2">
      <c r="A4" s="27" t="s">
        <v>33</v>
      </c>
      <c r="B4" s="28">
        <f>SUMIFS([1]!tbl_Sales[Net Revenue], [1]!tbl_Sales[Region],$A4)</f>
        <v>75833.440000000017</v>
      </c>
      <c r="C4" s="29">
        <f>_xlfn.XLOOKUP(A4, [1]!Budget[Region], [1]!Budget[Q4 Budget Revenue])</f>
        <v>88000</v>
      </c>
      <c r="D4" s="28">
        <f>Units_Vs_Discount[[#This Row],[Net Revenue]]-Units_Vs_Discount[[#This Row],[Budget]]</f>
        <v>-12166.559999999983</v>
      </c>
      <c r="E4" s="30">
        <f>Units_Vs_Discount[[#This Row],[Net Revenue]]/Units_Vs_Discount[[#This Row],[Budget]]</f>
        <v>0.8617436363636366</v>
      </c>
      <c r="F4" s="30">
        <f>Units_Vs_Discount[[#This Row],[Net Revenue]]/$B$6</f>
        <v>0.24187188803016518</v>
      </c>
      <c r="G4" s="31">
        <f>SUMIFS([1]!tbl_Sales[Units], [1]!tbl_Sales[Region], Units_Vs_Discount[[#This Row],[Region]])</f>
        <v>792</v>
      </c>
      <c r="H4" s="31">
        <f>_xlfn.XLOOKUP(Units_Vs_Discount[[#This Row],[Region]], [1]!Budget[Region], [1]!Budget[Q4 Budget Units])</f>
        <v>950</v>
      </c>
      <c r="I4" s="30">
        <f>Units_Vs_Discount[[#This Row],[Units]]/Units_Vs_Discount[[#This Row],[Budget Units]]</f>
        <v>0.83368421052631581</v>
      </c>
      <c r="J4" s="30">
        <f>1-(SUMIFS([1]!tbl_Sales[Actual Revenue], [1]!tbl_Sales[Region], Units_Vs_Discount[[#This Row],[Region]]))/SUMIFS([1]!tbl_Sales[Net Revenue], [1]!tbl_Sales[Region], Units_Vs_Discount[[#This Row],[Region]])</f>
        <v>9.7069643682261564E-3</v>
      </c>
      <c r="L4" s="26" t="s">
        <v>33</v>
      </c>
      <c r="M4" s="32">
        <v>0.8617436363636366</v>
      </c>
      <c r="N4" s="32">
        <v>0.83368421052631581</v>
      </c>
      <c r="O4" s="32">
        <v>9.7069643682261564E-3</v>
      </c>
    </row>
    <row r="5" spans="1:15" x14ac:dyDescent="0.2">
      <c r="A5" s="27" t="s">
        <v>60</v>
      </c>
      <c r="B5" s="33">
        <f>SUMIFS([1]!tbl_Sales[Net Revenue], [1]!tbl_Sales[Region],$A5)</f>
        <v>84618.75</v>
      </c>
      <c r="C5" s="34">
        <f>_xlfn.XLOOKUP(A5, [1]!Budget[Region], [1]!Budget[Q4 Budget Revenue])</f>
        <v>86000</v>
      </c>
      <c r="D5" s="33">
        <f>Units_Vs_Discount[[#This Row],[Net Revenue]]-Units_Vs_Discount[[#This Row],[Budget]]</f>
        <v>-1381.25</v>
      </c>
      <c r="E5" s="35">
        <f>Units_Vs_Discount[[#This Row],[Net Revenue]]/Units_Vs_Discount[[#This Row],[Budget]]</f>
        <v>0.98393895348837213</v>
      </c>
      <c r="F5" s="35">
        <f>Units_Vs_Discount[[#This Row],[Net Revenue]]/$B$6</f>
        <v>0.26989276531900092</v>
      </c>
      <c r="G5" s="36">
        <f>SUMIFS([1]!tbl_Sales[Units], [1]!tbl_Sales[Region], Units_Vs_Discount[[#This Row],[Region]])</f>
        <v>1138</v>
      </c>
      <c r="H5" s="36">
        <f>_xlfn.XLOOKUP(Units_Vs_Discount[[#This Row],[Region]], [1]!Budget[Region], [1]!Budget[Q4 Budget Units])</f>
        <v>1150</v>
      </c>
      <c r="I5" s="35">
        <f>Units_Vs_Discount[[#This Row],[Units]]/Units_Vs_Discount[[#This Row],[Budget Units]]</f>
        <v>0.98956521739130432</v>
      </c>
      <c r="J5" s="35">
        <f>1-(SUMIFS([1]!tbl_Sales[Actual Revenue], [1]!tbl_Sales[Region], Units_Vs_Discount[[#This Row],[Region]]))/SUMIFS([1]!tbl_Sales[Net Revenue], [1]!tbl_Sales[Region], Units_Vs_Discount[[#This Row],[Region]])</f>
        <v>3.7239323435999117E-3</v>
      </c>
      <c r="L5" s="26" t="s">
        <v>60</v>
      </c>
      <c r="M5" s="32">
        <v>0.98393895348837213</v>
      </c>
      <c r="N5" s="32">
        <v>0.98956521739130432</v>
      </c>
      <c r="O5" s="32">
        <v>3.7239323435999117E-3</v>
      </c>
    </row>
    <row r="6" spans="1:15" x14ac:dyDescent="0.2">
      <c r="A6" t="s">
        <v>354</v>
      </c>
      <c r="B6" s="18">
        <f>SUM(Units_Vs_Discount[Net Revenue])</f>
        <v>313527.30000000005</v>
      </c>
      <c r="C6" s="18">
        <f>SUM(Units_Vs_Discount[Budget])</f>
        <v>331000</v>
      </c>
      <c r="D6" s="18">
        <f>SUM(Units_Vs_Discount[Variance])</f>
        <v>-17472.699999999968</v>
      </c>
      <c r="E6" s="18"/>
      <c r="F6" s="25">
        <f>SUM(Units_Vs_Discount[% Of Total Revenue])</f>
        <v>1</v>
      </c>
      <c r="G6" s="18">
        <f>SUM(Units_Vs_Discount[Units])</f>
        <v>3465</v>
      </c>
      <c r="H6" s="18">
        <f>SUM(Units_Vs_Discount[Budget Units])</f>
        <v>3640</v>
      </c>
      <c r="I6" s="25"/>
      <c r="J6" s="25">
        <f>SUM(Units_Vs_Discount[Discount Rate])</f>
        <v>0.12770725749991119</v>
      </c>
    </row>
    <row r="8" spans="1:15" ht="16" thickBot="1" x14ac:dyDescent="0.25">
      <c r="A8" s="37" t="s">
        <v>8</v>
      </c>
      <c r="B8" s="38" t="s">
        <v>334</v>
      </c>
      <c r="C8" s="38" t="s">
        <v>344</v>
      </c>
      <c r="D8" s="38" t="s">
        <v>345</v>
      </c>
      <c r="E8" s="38" t="s">
        <v>355</v>
      </c>
      <c r="F8" s="38" t="s">
        <v>346</v>
      </c>
      <c r="G8" s="39" t="s">
        <v>356</v>
      </c>
      <c r="H8" s="39" t="s">
        <v>9</v>
      </c>
      <c r="I8" s="38" t="s">
        <v>357</v>
      </c>
    </row>
    <row r="9" spans="1:15" ht="16" thickTop="1" x14ac:dyDescent="0.2">
      <c r="A9" t="s">
        <v>30</v>
      </c>
      <c r="B9" s="18">
        <f>SUMIFS([1]!tbl_Sales[Net Revenue], [1]!tbl_Sales[Category], Category_Budget_2[[#This Row],[Category]])</f>
        <v>224400</v>
      </c>
      <c r="C9" s="18">
        <f>_xlfn.XLOOKUP(Category_Budget_2[[#This Row],[Category]], [1]!Category_Budget_Original[Category], [1]!Category_Budget_Original[Q4 Budget Revenue])</f>
        <v>235000</v>
      </c>
      <c r="D9" s="18">
        <f>Category_Budget_2[[#This Row],[Net Revenue]]-Category_Budget_2[[#This Row],[Budget]]</f>
        <v>-10600</v>
      </c>
      <c r="E9" s="25">
        <f>Category_Budget_2[[#This Row],[Variance]]/Category_Budget_2[[#Totals],[Variance]]</f>
        <v>0.60666067636942189</v>
      </c>
      <c r="F9" s="25">
        <f>Category_Budget_2[[#This Row],[Net Revenue]]/Category_Budget_2[[#This Row],[Budget]]</f>
        <v>0.95489361702127662</v>
      </c>
      <c r="G9" s="25">
        <f>Category_Budget_2[[#This Row],[Net Revenue]]/Category_Budget_2[[#Totals],[Net Revenue]]</f>
        <v>0.71572714720536301</v>
      </c>
      <c r="H9">
        <f>SUMIFS([1]!tbl_Sales[Units], [1]!tbl_Sales[Category], Category_Budget_2[[#This Row],[Category]])</f>
        <v>1207</v>
      </c>
      <c r="I9" s="25">
        <f>Category_Budget_2[[#This Row],[Units]]/Category_Budget_2[[#Totals],[Units]]</f>
        <v>0.34834054834054834</v>
      </c>
    </row>
    <row r="10" spans="1:15" x14ac:dyDescent="0.2">
      <c r="A10" t="s">
        <v>103</v>
      </c>
      <c r="B10" s="18">
        <f>SUMIFS([1]!tbl_Sales[Net Revenue], [1]!tbl_Sales[Category], Category_Budget_2[[#This Row],[Category]])</f>
        <v>8820</v>
      </c>
      <c r="C10" s="18">
        <f>_xlfn.XLOOKUP(Category_Budget_2[[#This Row],[Category]], [1]!Category_Budget_Original[Category], [1]!Category_Budget_Original[Q4 Budget Revenue])</f>
        <v>13000</v>
      </c>
      <c r="D10" s="18">
        <f>Category_Budget_2[[#This Row],[Net Revenue]]-Category_Budget_2[[#This Row],[Budget]]</f>
        <v>-4180</v>
      </c>
      <c r="E10" s="25">
        <f>Category_Budget_2[[#This Row],[Variance]]/Category_Budget_2[[#Totals],[Variance]]</f>
        <v>0.2392303421909607</v>
      </c>
      <c r="F10" s="25">
        <f>Category_Budget_2[[#This Row],[Net Revenue]]/Category_Budget_2[[#This Row],[Budget]]</f>
        <v>0.67846153846153845</v>
      </c>
      <c r="G10" s="25">
        <f>Category_Budget_2[[#This Row],[Net Revenue]]/Category_Budget_2[[#Totals],[Net Revenue]]</f>
        <v>2.813152156128031E-2</v>
      </c>
      <c r="H10">
        <f>SUMIFS([1]!tbl_Sales[Units], [1]!tbl_Sales[Category], Category_Budget_2[[#This Row],[Category]])</f>
        <v>360</v>
      </c>
      <c r="I10" s="25">
        <f>Category_Budget_2[[#This Row],[Units]]/Category_Budget_2[[#Totals],[Units]]</f>
        <v>0.1038961038961039</v>
      </c>
    </row>
    <row r="11" spans="1:15" x14ac:dyDescent="0.2">
      <c r="A11" t="s">
        <v>17</v>
      </c>
      <c r="B11" s="18">
        <f>SUMIFS([1]!tbl_Sales[Net Revenue], [1]!tbl_Sales[Category], Category_Budget_2[[#This Row],[Category]])</f>
        <v>50597.75</v>
      </c>
      <c r="C11" s="18">
        <f>_xlfn.XLOOKUP(Category_Budget_2[[#This Row],[Category]], [1]!Category_Budget_Original[Category], [1]!Category_Budget_Original[Q4 Budget Revenue])</f>
        <v>52000</v>
      </c>
      <c r="D11" s="18">
        <f>Category_Budget_2[[#This Row],[Net Revenue]]-Category_Budget_2[[#This Row],[Budget]]</f>
        <v>-1402.25</v>
      </c>
      <c r="E11" s="25">
        <f>Category_Budget_2[[#This Row],[Variance]]/Category_Budget_2[[#Totals],[Variance]]</f>
        <v>8.0253767305568088E-2</v>
      </c>
      <c r="F11" s="25">
        <f>Category_Budget_2[[#This Row],[Net Revenue]]/Category_Budget_2[[#This Row],[Budget]]</f>
        <v>0.97303365384615381</v>
      </c>
      <c r="G11" s="25">
        <f>Category_Budget_2[[#This Row],[Net Revenue]]/Category_Budget_2[[#Totals],[Net Revenue]]</f>
        <v>0.16138227835343208</v>
      </c>
      <c r="H11">
        <f>SUMIFS([1]!tbl_Sales[Units], [1]!tbl_Sales[Category], Category_Budget_2[[#This Row],[Category]])</f>
        <v>654</v>
      </c>
      <c r="I11" s="25">
        <f>Category_Budget_2[[#This Row],[Units]]/Category_Budget_2[[#Totals],[Units]]</f>
        <v>0.18874458874458874</v>
      </c>
    </row>
    <row r="12" spans="1:15" x14ac:dyDescent="0.2">
      <c r="A12" t="s">
        <v>69</v>
      </c>
      <c r="B12" s="18">
        <f>SUMIFS([1]!tbl_Sales[Net Revenue], [1]!tbl_Sales[Category], Category_Budget_2[[#This Row],[Category]])</f>
        <v>10286.199999999999</v>
      </c>
      <c r="C12" s="18">
        <f>_xlfn.XLOOKUP(Category_Budget_2[[#This Row],[Category]], [1]!Category_Budget_Original[Category], [1]!Category_Budget_Original[Q4 Budget Revenue])</f>
        <v>11000</v>
      </c>
      <c r="D12" s="18">
        <f>Category_Budget_2[[#This Row],[Net Revenue]]-Category_Budget_2[[#This Row],[Budget]]</f>
        <v>-713.80000000000109</v>
      </c>
      <c r="E12" s="25">
        <f>Category_Budget_2[[#This Row],[Variance]]/Category_Budget_2[[#Totals],[Variance]]</f>
        <v>4.0852301018159808E-2</v>
      </c>
      <c r="F12" s="25">
        <f>Category_Budget_2[[#This Row],[Net Revenue]]/Category_Budget_2[[#This Row],[Budget]]</f>
        <v>0.93510909090909078</v>
      </c>
      <c r="G12" s="25">
        <f>Category_Budget_2[[#This Row],[Net Revenue]]/Category_Budget_2[[#Totals],[Net Revenue]]</f>
        <v>3.2807988331478626E-2</v>
      </c>
      <c r="H12">
        <f>SUMIFS([1]!tbl_Sales[Units], [1]!tbl_Sales[Category], Category_Budget_2[[#This Row],[Category]])</f>
        <v>670</v>
      </c>
      <c r="I12" s="25">
        <f>Category_Budget_2[[#This Row],[Units]]/Category_Budget_2[[#Totals],[Units]]</f>
        <v>0.19336219336219337</v>
      </c>
    </row>
    <row r="13" spans="1:15" x14ac:dyDescent="0.2">
      <c r="A13" t="s">
        <v>40</v>
      </c>
      <c r="B13" s="18">
        <f>SUMIFS([1]!tbl_Sales[Net Revenue], [1]!tbl_Sales[Category], Category_Budget_2[[#This Row],[Category]])</f>
        <v>19423.349999999999</v>
      </c>
      <c r="C13" s="18">
        <f>_xlfn.XLOOKUP(Category_Budget_2[[#This Row],[Category]], [1]!Category_Budget_Original[Category], [1]!Category_Budget_Original[Q4 Budget Revenue])</f>
        <v>20000</v>
      </c>
      <c r="D13" s="18">
        <f>Category_Budget_2[[#This Row],[Net Revenue]]-Category_Budget_2[[#This Row],[Budget]]</f>
        <v>-576.65000000000146</v>
      </c>
      <c r="E13" s="25">
        <f>Category_Budget_2[[#This Row],[Variance]]/Category_Budget_2[[#Totals],[Variance]]</f>
        <v>3.3002913115889432E-2</v>
      </c>
      <c r="F13" s="25">
        <f>Category_Budget_2[[#This Row],[Net Revenue]]/Category_Budget_2[[#This Row],[Budget]]</f>
        <v>0.97116749999999996</v>
      </c>
      <c r="G13" s="25">
        <f>Category_Budget_2[[#This Row],[Net Revenue]]/Category_Budget_2[[#Totals],[Net Revenue]]</f>
        <v>6.1951064548446018E-2</v>
      </c>
      <c r="H13">
        <f>SUMIFS([1]!tbl_Sales[Units], [1]!tbl_Sales[Category], Category_Budget_2[[#This Row],[Category]])</f>
        <v>574</v>
      </c>
      <c r="I13" s="25">
        <f>Category_Budget_2[[#This Row],[Units]]/Category_Budget_2[[#Totals],[Units]]</f>
        <v>0.16565656565656567</v>
      </c>
    </row>
    <row r="14" spans="1:15" x14ac:dyDescent="0.2">
      <c r="A14" t="s">
        <v>354</v>
      </c>
      <c r="B14" s="18">
        <f>SUBTOTAL(109,Category_Budget_2[Net Revenue])</f>
        <v>313527.3</v>
      </c>
      <c r="C14" s="18">
        <f>SUBTOTAL(109,Category_Budget_2[Budget])</f>
        <v>331000</v>
      </c>
      <c r="D14" s="18">
        <f>SUBTOTAL(109,Category_Budget_2[Variance])</f>
        <v>-17472.700000000004</v>
      </c>
      <c r="H14">
        <f>SUBTOTAL(109,Category_Budget_2[Units])</f>
        <v>3465</v>
      </c>
    </row>
    <row r="16" spans="1:15" ht="16" thickBot="1" x14ac:dyDescent="0.25">
      <c r="A16" t="s">
        <v>38</v>
      </c>
      <c r="B16" t="s">
        <v>339</v>
      </c>
      <c r="C16" t="s">
        <v>358</v>
      </c>
      <c r="D16" t="s">
        <v>359</v>
      </c>
      <c r="H16" s="40" t="s">
        <v>33</v>
      </c>
      <c r="I16" s="41" t="s">
        <v>339</v>
      </c>
      <c r="J16" s="42" t="s">
        <v>358</v>
      </c>
    </row>
    <row r="17" spans="1:10" ht="16" thickTop="1" x14ac:dyDescent="0.2">
      <c r="A17" t="s">
        <v>30</v>
      </c>
      <c r="B17" s="18">
        <f>SUMIFS([1]!tbl_Sales[Net Revenue], [1]!tbl_Sales[Category], North_and_Scotland[[#This Row],[North]], [1]!tbl_Sales[Region], North_and_Scotland[[#Headers],[North]])</f>
        <v>58260.5</v>
      </c>
      <c r="C17" s="43">
        <f>SUMIFS([1]!tbl_Sales[Units], [1]!tbl_Sales[Category], North_and_Scotland[[#This Row],[North]], [1]!tbl_Sales[Region], North_and_Scotland[[#Headers],[North]])</f>
        <v>314</v>
      </c>
      <c r="D17" s="18">
        <f>_xlfn.XLOOKUP(North_and_Scotland[[#This Row],[North]], [1]!Category_Budget_Original[Category], [1]!Category_Budget_Original[Q4 Budget Revenue])</f>
        <v>235000</v>
      </c>
      <c r="E17" s="18"/>
      <c r="F17" s="43"/>
      <c r="H17" s="44" t="s">
        <v>30</v>
      </c>
      <c r="I17" s="45">
        <v>52744.5</v>
      </c>
      <c r="J17" s="46">
        <v>253</v>
      </c>
    </row>
    <row r="18" spans="1:10" x14ac:dyDescent="0.2">
      <c r="A18" t="s">
        <v>103</v>
      </c>
      <c r="B18" s="18">
        <f>SUMIFS([1]!tbl_Sales[Net Revenue], [1]!tbl_Sales[Category], North_and_Scotland[[#This Row],[North]], [1]!tbl_Sales[Region], North_and_Scotland[[#Headers],[North]])</f>
        <v>171.5</v>
      </c>
      <c r="C18" s="43">
        <f>SUMIFS([1]!tbl_Sales[Units], [1]!tbl_Sales[Category], North_and_Scotland[[#This Row],[North]], [1]!tbl_Sales[Region], North_and_Scotland[[#Headers],[North]])</f>
        <v>7</v>
      </c>
      <c r="D18" s="18">
        <f>_xlfn.XLOOKUP(North_and_Scotland[[#This Row],[North]], [1]!Category_Budget_Original[Category], [1]!Category_Budget_Original[Q4 Budget Revenue])</f>
        <v>13000</v>
      </c>
      <c r="E18" s="18"/>
      <c r="F18" s="43"/>
      <c r="H18" s="47" t="s">
        <v>103</v>
      </c>
      <c r="I18" s="48">
        <v>4655</v>
      </c>
      <c r="J18" s="49">
        <v>190</v>
      </c>
    </row>
    <row r="19" spans="1:10" x14ac:dyDescent="0.2">
      <c r="A19" t="s">
        <v>17</v>
      </c>
      <c r="B19" s="18">
        <f>SUMIFS([1]!tbl_Sales[Net Revenue], [1]!tbl_Sales[Category], North_and_Scotland[[#This Row],[North]], [1]!tbl_Sales[Region], North_and_Scotland[[#Headers],[North]])</f>
        <v>4576</v>
      </c>
      <c r="C19" s="43">
        <f>SUMIFS([1]!tbl_Sales[Units], [1]!tbl_Sales[Category], North_and_Scotland[[#This Row],[North]], [1]!tbl_Sales[Region], North_and_Scotland[[#Headers],[North]])</f>
        <v>61</v>
      </c>
      <c r="D19" s="18">
        <f>_xlfn.XLOOKUP(North_and_Scotland[[#This Row],[North]], [1]!Category_Budget_Original[Category], [1]!Category_Budget_Original[Q4 Budget Revenue])</f>
        <v>52000</v>
      </c>
      <c r="E19" s="18"/>
      <c r="F19" s="43"/>
      <c r="H19" s="44" t="s">
        <v>17</v>
      </c>
      <c r="I19" s="45">
        <v>15603</v>
      </c>
      <c r="J19" s="46">
        <v>209</v>
      </c>
    </row>
    <row r="20" spans="1:10" x14ac:dyDescent="0.2">
      <c r="A20" t="s">
        <v>69</v>
      </c>
      <c r="B20" s="18">
        <f>SUMIFS([1]!tbl_Sales[Net Revenue], [1]!tbl_Sales[Category], North_and_Scotland[[#This Row],[North]], [1]!tbl_Sales[Region], North_and_Scotland[[#Headers],[North]])</f>
        <v>1549.95</v>
      </c>
      <c r="C20" s="43">
        <f>SUMIFS([1]!tbl_Sales[Units], [1]!tbl_Sales[Category], North_and_Scotland[[#This Row],[North]], [1]!tbl_Sales[Region], North_and_Scotland[[#Headers],[North]])</f>
        <v>120</v>
      </c>
      <c r="D20" s="18">
        <f>_xlfn.XLOOKUP(North_and_Scotland[[#This Row],[North]], [1]!Category_Budget_Original[Category], [1]!Category_Budget_Original[Q4 Budget Revenue])</f>
        <v>11000</v>
      </c>
      <c r="E20" s="18"/>
      <c r="F20" s="43"/>
      <c r="H20" s="47" t="s">
        <v>69</v>
      </c>
      <c r="I20" s="48">
        <v>2171</v>
      </c>
      <c r="J20" s="49">
        <v>122</v>
      </c>
    </row>
    <row r="21" spans="1:10" ht="16" thickBot="1" x14ac:dyDescent="0.25">
      <c r="A21" t="s">
        <v>40</v>
      </c>
      <c r="B21" s="18">
        <f>SUMIFS([1]!tbl_Sales[Net Revenue], [1]!tbl_Sales[Category], North_and_Scotland[[#This Row],[North]], [1]!tbl_Sales[Region], North_and_Scotland[[#Headers],[North]])</f>
        <v>3761.43</v>
      </c>
      <c r="C21" s="43">
        <f>SUMIFS([1]!tbl_Sales[Units], [1]!tbl_Sales[Category], North_and_Scotland[[#This Row],[North]], [1]!tbl_Sales[Region], North_and_Scotland[[#Headers],[North]])</f>
        <v>114</v>
      </c>
      <c r="D21" s="18">
        <f>_xlfn.XLOOKUP(North_and_Scotland[[#This Row],[North]], [1]!Category_Budget_Original[Category], [1]!Category_Budget_Original[Q4 Budget Revenue])</f>
        <v>20000</v>
      </c>
      <c r="E21" s="18"/>
      <c r="F21" s="43"/>
      <c r="H21" s="44" t="s">
        <v>40</v>
      </c>
      <c r="I21" s="45">
        <v>659.94</v>
      </c>
      <c r="J21" s="46">
        <v>18</v>
      </c>
    </row>
    <row r="22" spans="1:10" ht="16" thickTop="1" x14ac:dyDescent="0.2">
      <c r="A22" t="s">
        <v>354</v>
      </c>
      <c r="B22" s="18">
        <f>SUBTOTAL(109,North_and_Scotland[Revenue])</f>
        <v>68319.37999999999</v>
      </c>
      <c r="C22" s="43">
        <f>SUBTOTAL(109,North_and_Scotland[units])</f>
        <v>616</v>
      </c>
      <c r="E22" s="18"/>
      <c r="F22" s="43"/>
      <c r="H22" s="50" t="s">
        <v>354</v>
      </c>
      <c r="I22" s="51">
        <v>75833.440000000002</v>
      </c>
      <c r="J22" s="52">
        <v>792</v>
      </c>
    </row>
    <row r="24" spans="1:10" ht="16" thickBot="1" x14ac:dyDescent="0.25">
      <c r="A24" s="40" t="s">
        <v>38</v>
      </c>
      <c r="B24" s="41" t="s">
        <v>360</v>
      </c>
      <c r="C24" s="42" t="s">
        <v>361</v>
      </c>
      <c r="D24" s="53" t="s">
        <v>362</v>
      </c>
      <c r="E24" s="53" t="s">
        <v>363</v>
      </c>
    </row>
    <row r="25" spans="1:10" ht="16" thickTop="1" x14ac:dyDescent="0.2">
      <c r="A25" s="44" t="s">
        <v>30</v>
      </c>
      <c r="B25" s="45">
        <v>58260.5</v>
      </c>
      <c r="C25" s="46">
        <v>314</v>
      </c>
      <c r="D25" s="25">
        <f>Table11[[#This Row],[Revenue Of each item in the North]]/_xlfn.XLOOKUP(Table11[[#This Row],[North]], Category_Budget_2[Category], Category_Budget_2[Net Revenue])</f>
        <v>0.25962789661319075</v>
      </c>
      <c r="E25" s="25">
        <f>Table11[[#This Row],[Number of Units of each item in the North]]/_xlfn.XLOOKUP(Table11[[#This Row],[North]],Category_Budget_2[Category], Category_Budget_2[Units])</f>
        <v>0.26014913007456503</v>
      </c>
    </row>
    <row r="26" spans="1:10" x14ac:dyDescent="0.2">
      <c r="A26" s="47" t="s">
        <v>103</v>
      </c>
      <c r="B26" s="48">
        <v>171.5</v>
      </c>
      <c r="C26" s="49">
        <v>7</v>
      </c>
      <c r="D26" s="25">
        <f>Table11[[#This Row],[Revenue Of each item in the North]]/_xlfn.XLOOKUP(Table11[[#This Row],[North]], Category_Budget_2[Category], Category_Budget_2[Net Revenue])</f>
        <v>1.9444444444444445E-2</v>
      </c>
      <c r="E26" s="25">
        <f>Table11[[#This Row],[Number of Units of each item in the North]]/_xlfn.XLOOKUP(Table11[[#This Row],[North]],Category_Budget_2[Category], Category_Budget_2[Units])</f>
        <v>1.9444444444444445E-2</v>
      </c>
    </row>
    <row r="27" spans="1:10" x14ac:dyDescent="0.2">
      <c r="A27" s="44" t="s">
        <v>17</v>
      </c>
      <c r="B27" s="45">
        <v>4576</v>
      </c>
      <c r="C27" s="46">
        <v>61</v>
      </c>
      <c r="D27" s="25">
        <f>Table11[[#This Row],[Revenue Of each item in the North]]/_xlfn.XLOOKUP(Table11[[#This Row],[North]], Category_Budget_2[Category], Category_Budget_2[Net Revenue])</f>
        <v>9.0438804097020126E-2</v>
      </c>
      <c r="E27" s="25">
        <f>Table11[[#This Row],[Number of Units of each item in the North]]/_xlfn.XLOOKUP(Table11[[#This Row],[North]],Category_Budget_2[Category], Category_Budget_2[Units])</f>
        <v>9.3272171253822631E-2</v>
      </c>
    </row>
    <row r="28" spans="1:10" x14ac:dyDescent="0.2">
      <c r="A28" s="47" t="s">
        <v>69</v>
      </c>
      <c r="B28" s="48">
        <v>1549.95</v>
      </c>
      <c r="C28" s="49">
        <v>120</v>
      </c>
      <c r="D28" s="25">
        <f>Table11[[#This Row],[Revenue Of each item in the North]]/_xlfn.XLOOKUP(Table11[[#This Row],[North]], Category_Budget_2[Category], Category_Budget_2[Net Revenue])</f>
        <v>0.15068246777235522</v>
      </c>
      <c r="E28" s="25">
        <f>Table11[[#This Row],[Number of Units of each item in the North]]/_xlfn.XLOOKUP(Table11[[#This Row],[North]],Category_Budget_2[Category], Category_Budget_2[Units])</f>
        <v>0.17910447761194029</v>
      </c>
    </row>
    <row r="29" spans="1:10" ht="16" thickBot="1" x14ac:dyDescent="0.25">
      <c r="A29" s="44" t="s">
        <v>40</v>
      </c>
      <c r="B29" s="45">
        <v>3761.43</v>
      </c>
      <c r="C29" s="46">
        <v>114</v>
      </c>
      <c r="D29" s="25">
        <f>Table11[[#This Row],[Revenue Of each item in the North]]/_xlfn.XLOOKUP(Table11[[#This Row],[North]], Category_Budget_2[Category], Category_Budget_2[Net Revenue])</f>
        <v>0.19365505950312381</v>
      </c>
      <c r="E29" s="25">
        <f>Table11[[#This Row],[Number of Units of each item in the North]]/_xlfn.XLOOKUP(Table11[[#This Row],[North]],Category_Budget_2[Category], Category_Budget_2[Units])</f>
        <v>0.19860627177700349</v>
      </c>
    </row>
    <row r="30" spans="1:10" ht="16" thickTop="1" x14ac:dyDescent="0.2">
      <c r="A30" s="50" t="s">
        <v>354</v>
      </c>
      <c r="B30" s="51">
        <v>68319.38</v>
      </c>
      <c r="C30" s="52">
        <v>616</v>
      </c>
      <c r="D30" s="18"/>
      <c r="E30" s="25"/>
    </row>
    <row r="32" spans="1:10" ht="16" thickBot="1" x14ac:dyDescent="0.25">
      <c r="A32" s="40" t="s">
        <v>33</v>
      </c>
      <c r="B32" s="41" t="s">
        <v>364</v>
      </c>
      <c r="C32" s="42" t="s">
        <v>365</v>
      </c>
      <c r="D32" s="53" t="s">
        <v>366</v>
      </c>
      <c r="E32" s="53" t="s">
        <v>363</v>
      </c>
    </row>
    <row r="33" spans="1:5" ht="16" thickTop="1" x14ac:dyDescent="0.2">
      <c r="A33" s="44" t="s">
        <v>30</v>
      </c>
      <c r="B33" s="45">
        <f>SUMIFS([1]!tbl_Sales[Net Revenue], [1]!tbl_Sales[Category], Table1113[[#This Row],[Scotland]], [1]!tbl_Sales[Region], Table1113[[#Headers],[Scotland]])</f>
        <v>52744.5</v>
      </c>
      <c r="C33" s="46">
        <f>SUMIFS([1]!tbl_Sales[Units], [1]!tbl_Sales[Category], Table1113[[#This Row],[Scotland]], [1]!tbl_Sales[Region], Table1113[[#Headers],[Scotland]])</f>
        <v>253</v>
      </c>
      <c r="D33" s="25">
        <f>Table1113[[#This Row],[Revenue Of each item in Scotland]]/_xlfn.XLOOKUP(Table1113[[#This Row],[Scotland]], Category_Budget_2[Category], Category_Budget_2[Net Revenue])</f>
        <v>0.23504679144385027</v>
      </c>
      <c r="E33" s="25">
        <f>Table1113[[#This Row],[Number of Units of each item in Scotland]]/_xlfn.XLOOKUP(Table1113[[#This Row],[Scotland]], Category_Budget_2[Category], Category_Budget_2[Units])</f>
        <v>0.20961060480530241</v>
      </c>
    </row>
    <row r="34" spans="1:5" x14ac:dyDescent="0.2">
      <c r="A34" s="47" t="s">
        <v>103</v>
      </c>
      <c r="B34" s="45">
        <f>SUMIFS([1]!tbl_Sales[Net Revenue], [1]!tbl_Sales[Category], Table1113[[#This Row],[Scotland]], [1]!tbl_Sales[Region], Table1113[[#Headers],[Scotland]])</f>
        <v>4655</v>
      </c>
      <c r="C34" s="46">
        <f>SUMIFS([1]!tbl_Sales[Units], [1]!tbl_Sales[Category], Table1113[[#This Row],[Scotland]], [1]!tbl_Sales[Region], Table1113[[#Headers],[Scotland]])</f>
        <v>190</v>
      </c>
      <c r="D34" s="25">
        <f>Table1113[[#This Row],[Revenue Of each item in Scotland]]/_xlfn.XLOOKUP(Table1113[[#This Row],[Scotland]], Category_Budget_2[Category], Category_Budget_2[Net Revenue])</f>
        <v>0.52777777777777779</v>
      </c>
      <c r="E34" s="25">
        <f>Table1113[[#This Row],[Number of Units of each item in Scotland]]/_xlfn.XLOOKUP(Table1113[[#This Row],[Scotland]], Category_Budget_2[Category], Category_Budget_2[Units])</f>
        <v>0.52777777777777779</v>
      </c>
    </row>
    <row r="35" spans="1:5" x14ac:dyDescent="0.2">
      <c r="A35" s="44" t="s">
        <v>17</v>
      </c>
      <c r="B35" s="45">
        <f>SUMIFS([1]!tbl_Sales[Net Revenue], [1]!tbl_Sales[Category], Table1113[[#This Row],[Scotland]], [1]!tbl_Sales[Region], Table1113[[#Headers],[Scotland]])</f>
        <v>15603</v>
      </c>
      <c r="C35" s="46">
        <f>SUMIFS([1]!tbl_Sales[Units], [1]!tbl_Sales[Category], Table1113[[#This Row],[Scotland]], [1]!tbl_Sales[Region], Table1113[[#Headers],[Scotland]])</f>
        <v>209</v>
      </c>
      <c r="D35" s="25">
        <f>Table1113[[#This Row],[Revenue Of each item in Scotland]]/_xlfn.XLOOKUP(Table1113[[#This Row],[Scotland]], Category_Budget_2[Category], Category_Budget_2[Net Revenue])</f>
        <v>0.30837339605021963</v>
      </c>
      <c r="E35" s="25">
        <f>Table1113[[#This Row],[Number of Units of each item in Scotland]]/_xlfn.XLOOKUP(Table1113[[#This Row],[Scotland]], Category_Budget_2[Category], Category_Budget_2[Units])</f>
        <v>0.31957186544342508</v>
      </c>
    </row>
    <row r="36" spans="1:5" x14ac:dyDescent="0.2">
      <c r="A36" s="47" t="s">
        <v>69</v>
      </c>
      <c r="B36" s="45">
        <f>SUMIFS([1]!tbl_Sales[Net Revenue], [1]!tbl_Sales[Category], Table1113[[#This Row],[Scotland]], [1]!tbl_Sales[Region], Table1113[[#Headers],[Scotland]])</f>
        <v>2171</v>
      </c>
      <c r="C36" s="46">
        <f>SUMIFS([1]!tbl_Sales[Units], [1]!tbl_Sales[Category], Table1113[[#This Row],[Scotland]], [1]!tbl_Sales[Region], Table1113[[#Headers],[Scotland]])</f>
        <v>122</v>
      </c>
      <c r="D36" s="25">
        <f>Table1113[[#This Row],[Revenue Of each item in Scotland]]/_xlfn.XLOOKUP(Table1113[[#This Row],[Scotland]], Category_Budget_2[Category], Category_Budget_2[Net Revenue])</f>
        <v>0.21105947774688419</v>
      </c>
      <c r="E36" s="25">
        <f>Table1113[[#This Row],[Number of Units of each item in Scotland]]/_xlfn.XLOOKUP(Table1113[[#This Row],[Scotland]], Category_Budget_2[Category], Category_Budget_2[Units])</f>
        <v>0.18208955223880596</v>
      </c>
    </row>
    <row r="37" spans="1:5" ht="16" thickBot="1" x14ac:dyDescent="0.25">
      <c r="A37" s="44" t="s">
        <v>40</v>
      </c>
      <c r="B37" s="45">
        <f>SUMIFS([1]!tbl_Sales[Net Revenue], [1]!tbl_Sales[Category], Table1113[[#This Row],[Scotland]], [1]!tbl_Sales[Region], Table1113[[#Headers],[Scotland]])</f>
        <v>659.94</v>
      </c>
      <c r="C37" s="46">
        <f>SUMIFS([1]!tbl_Sales[Units], [1]!tbl_Sales[Category], Table1113[[#This Row],[Scotland]], [1]!tbl_Sales[Region], Table1113[[#Headers],[Scotland]])</f>
        <v>18</v>
      </c>
      <c r="D37" s="25">
        <f>Table1113[[#This Row],[Revenue Of each item in Scotland]]/_xlfn.XLOOKUP(Table1113[[#This Row],[Scotland]], Category_Budget_2[Category], Category_Budget_2[Net Revenue])</f>
        <v>3.3976631219640285E-2</v>
      </c>
      <c r="E37" s="25">
        <f>Table1113[[#This Row],[Number of Units of each item in Scotland]]/_xlfn.XLOOKUP(Table1113[[#This Row],[Scotland]], Category_Budget_2[Category], Category_Budget_2[Units])</f>
        <v>3.1358885017421602E-2</v>
      </c>
    </row>
    <row r="38" spans="1:5" ht="16" thickTop="1" x14ac:dyDescent="0.2">
      <c r="A38" s="50" t="s">
        <v>354</v>
      </c>
      <c r="B38" s="51">
        <v>68319.38</v>
      </c>
      <c r="C38" s="52">
        <v>616</v>
      </c>
      <c r="D38" s="18"/>
      <c r="E38" s="25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32E0-911F-6A4B-9148-EE71291BCEE9}">
  <dimension ref="A1:T170"/>
  <sheetViews>
    <sheetView tabSelected="1" zoomScale="85" zoomScaleNormal="75" workbookViewId="0">
      <pane ySplit="1" topLeftCell="A60" activePane="bottomLeft" state="frozen"/>
      <selection pane="bottomLeft" activeCell="J175" sqref="J175"/>
    </sheetView>
  </sheetViews>
  <sheetFormatPr baseColWidth="10" defaultRowHeight="15" x14ac:dyDescent="0.2"/>
  <cols>
    <col min="1" max="1" width="13.33203125" bestFit="1" customWidth="1"/>
    <col min="2" max="2" width="12.33203125" customWidth="1"/>
    <col min="3" max="3" width="16.5" customWidth="1"/>
    <col min="4" max="4" width="10.83203125" style="22"/>
    <col min="5" max="5" width="11.83203125" customWidth="1"/>
    <col min="8" max="8" width="10.83203125" style="23"/>
    <col min="9" max="9" width="11.5" style="24" customWidth="1"/>
    <col min="10" max="10" width="16.33203125" customWidth="1"/>
    <col min="11" max="11" width="17.6640625" bestFit="1" customWidth="1"/>
    <col min="13" max="13" width="23.33203125" bestFit="1" customWidth="1"/>
    <col min="14" max="14" width="20.6640625" bestFit="1" customWidth="1"/>
    <col min="16" max="16" width="20.6640625" bestFit="1" customWidth="1"/>
    <col min="18" max="18" width="20" bestFit="1" customWidth="1"/>
    <col min="20" max="20" width="22" bestFit="1" customWidth="1"/>
  </cols>
  <sheetData>
    <row r="1" spans="1:20" x14ac:dyDescent="0.2">
      <c r="A1" s="3" t="s">
        <v>2</v>
      </c>
      <c r="B1" s="3" t="s">
        <v>3</v>
      </c>
      <c r="C1" s="3" t="s">
        <v>4</v>
      </c>
      <c r="D1" s="7" t="s">
        <v>5</v>
      </c>
      <c r="E1" s="3" t="s">
        <v>6</v>
      </c>
      <c r="F1" s="3" t="s">
        <v>7</v>
      </c>
      <c r="G1" s="3" t="s">
        <v>8</v>
      </c>
      <c r="H1" s="8" t="s">
        <v>9</v>
      </c>
      <c r="I1" s="9" t="s">
        <v>10</v>
      </c>
      <c r="J1" s="3" t="s">
        <v>11</v>
      </c>
      <c r="K1" s="3" t="s">
        <v>334</v>
      </c>
      <c r="L1" s="3" t="s">
        <v>335</v>
      </c>
      <c r="M1" s="3" t="s">
        <v>336</v>
      </c>
      <c r="N1" s="3" t="s">
        <v>337</v>
      </c>
      <c r="R1" t="s">
        <v>338</v>
      </c>
      <c r="S1" t="s">
        <v>339</v>
      </c>
      <c r="T1" t="s">
        <v>340</v>
      </c>
    </row>
    <row r="2" spans="1:20" x14ac:dyDescent="0.2">
      <c r="A2" s="4" t="s">
        <v>12</v>
      </c>
      <c r="B2" s="5">
        <v>45938</v>
      </c>
      <c r="C2" s="4" t="s">
        <v>13</v>
      </c>
      <c r="D2" s="4" t="s">
        <v>38</v>
      </c>
      <c r="E2" s="4" t="s">
        <v>15</v>
      </c>
      <c r="F2" s="4" t="s">
        <v>16</v>
      </c>
      <c r="G2" s="4" t="s">
        <v>17</v>
      </c>
      <c r="H2" s="4">
        <v>16</v>
      </c>
      <c r="I2" s="10">
        <v>94.75</v>
      </c>
      <c r="J2" s="4" t="s">
        <v>19</v>
      </c>
      <c r="K2" s="11">
        <f>tbl_Sales[[#This Row],[Units]] *tbl_Sales[[#This Row],[Unit Price]]</f>
        <v>1516</v>
      </c>
      <c r="L2" s="4">
        <f>_xlfn.XLOOKUP(tbl_Sales[[#This Row],[Order ID]], [1]!Discount_tbl[Order ID], [1]!Discount_tbl[Discount %], 0)</f>
        <v>15</v>
      </c>
      <c r="M2" s="4">
        <f>tbl_Sales[[#This Row],[discount]]/100</f>
        <v>0.15</v>
      </c>
      <c r="N2" s="12">
        <f>(1-tbl_Sales[[#This Row],[Discount Percentage]]) * tbl_Sales[[#This Row],[Net Revenue]]</f>
        <v>1288.5999999999999</v>
      </c>
      <c r="O2" s="13"/>
      <c r="P2" s="14"/>
      <c r="R2" s="15" t="s">
        <v>38</v>
      </c>
      <c r="S2" s="13">
        <f>SUMIFS(tbl_Sales[Net Revenue], tbl_Sales[Region], R2)</f>
        <v>68319.38</v>
      </c>
      <c r="T2" s="14">
        <f>Table26[[#This Row],[Revenue]]/$K$170</f>
        <v>0.21790568157860576</v>
      </c>
    </row>
    <row r="3" spans="1:20" x14ac:dyDescent="0.2">
      <c r="A3" s="4" t="s">
        <v>20</v>
      </c>
      <c r="B3" s="5">
        <v>45984</v>
      </c>
      <c r="C3" s="4" t="s">
        <v>21</v>
      </c>
      <c r="D3" s="4" t="s">
        <v>43</v>
      </c>
      <c r="E3" s="4" t="s">
        <v>23</v>
      </c>
      <c r="F3" s="4" t="s">
        <v>24</v>
      </c>
      <c r="G3" s="4" t="s">
        <v>17</v>
      </c>
      <c r="H3" s="4">
        <v>30</v>
      </c>
      <c r="I3" s="10">
        <v>68</v>
      </c>
      <c r="J3" s="4" t="s">
        <v>25</v>
      </c>
      <c r="K3" s="11">
        <f>tbl_Sales[[#This Row],[Units]] *tbl_Sales[[#This Row],[Unit Price]]</f>
        <v>2040</v>
      </c>
      <c r="L3" s="4">
        <f>_xlfn.XLOOKUP(tbl_Sales[[#This Row],[Order ID]], [1]!Discount_tbl[Order ID], [1]!Discount_tbl[Discount %], 0)</f>
        <v>0</v>
      </c>
      <c r="M3" s="4">
        <f>tbl_Sales[[#This Row],[discount]]/100</f>
        <v>0</v>
      </c>
      <c r="N3" s="11">
        <f>(1-tbl_Sales[[#This Row],[Discount Percentage]]) * tbl_Sales[[#This Row],[Net Revenue]]</f>
        <v>2040</v>
      </c>
      <c r="R3" s="16" t="s">
        <v>43</v>
      </c>
      <c r="S3" s="13">
        <f>SUMIFS(tbl_Sales[Net Revenue], tbl_Sales[Region], R3)</f>
        <v>84755.73000000001</v>
      </c>
      <c r="T3" s="14">
        <f>Table26[[#This Row],[Revenue]]/$K$170</f>
        <v>0.27032966507222822</v>
      </c>
    </row>
    <row r="4" spans="1:20" x14ac:dyDescent="0.2">
      <c r="A4" s="4" t="s">
        <v>26</v>
      </c>
      <c r="B4" s="5">
        <v>45972</v>
      </c>
      <c r="C4" s="4" t="s">
        <v>21</v>
      </c>
      <c r="D4" s="4" t="s">
        <v>43</v>
      </c>
      <c r="E4" s="4" t="s">
        <v>28</v>
      </c>
      <c r="F4" s="4" t="s">
        <v>29</v>
      </c>
      <c r="G4" s="4" t="s">
        <v>30</v>
      </c>
      <c r="H4" s="4">
        <v>10</v>
      </c>
      <c r="I4" s="10">
        <v>76.5</v>
      </c>
      <c r="J4" s="4" t="s">
        <v>19</v>
      </c>
      <c r="K4" s="11">
        <f>tbl_Sales[[#This Row],[Units]] *tbl_Sales[[#This Row],[Unit Price]]</f>
        <v>765</v>
      </c>
      <c r="L4" s="4">
        <f>_xlfn.XLOOKUP(tbl_Sales[[#This Row],[Order ID]], [1]!Discount_tbl[Order ID], [1]!Discount_tbl[Discount %], 0)</f>
        <v>0</v>
      </c>
      <c r="M4" s="4">
        <f>tbl_Sales[[#This Row],[discount]]/100</f>
        <v>0</v>
      </c>
      <c r="N4" s="12">
        <f>(1-tbl_Sales[[#This Row],[Discount Percentage]]) * tbl_Sales[[#This Row],[Net Revenue]]</f>
        <v>765</v>
      </c>
      <c r="O4" s="13"/>
      <c r="P4" s="14"/>
      <c r="R4" s="16" t="s">
        <v>33</v>
      </c>
      <c r="S4" s="13">
        <f>SUMIFS(tbl_Sales[Net Revenue], tbl_Sales[Region], R4)</f>
        <v>75833.440000000017</v>
      </c>
      <c r="T4" s="14">
        <f>Table26[[#This Row],[Revenue]]/$K$170</f>
        <v>0.24187188803016521</v>
      </c>
    </row>
    <row r="5" spans="1:20" x14ac:dyDescent="0.2">
      <c r="A5" s="4" t="s">
        <v>31</v>
      </c>
      <c r="B5" s="5">
        <v>45948</v>
      </c>
      <c r="C5" s="4" t="s">
        <v>32</v>
      </c>
      <c r="D5" s="4" t="s">
        <v>33</v>
      </c>
      <c r="E5" s="4" t="s">
        <v>34</v>
      </c>
      <c r="F5" s="4" t="s">
        <v>24</v>
      </c>
      <c r="G5" s="4" t="s">
        <v>17</v>
      </c>
      <c r="H5" s="4">
        <v>37</v>
      </c>
      <c r="I5" s="10">
        <v>68</v>
      </c>
      <c r="J5" s="4" t="s">
        <v>35</v>
      </c>
      <c r="K5" s="11">
        <f>tbl_Sales[[#This Row],[Units]] *tbl_Sales[[#This Row],[Unit Price]]</f>
        <v>2516</v>
      </c>
      <c r="L5" s="4">
        <f>_xlfn.XLOOKUP(tbl_Sales[[#This Row],[Order ID]], [1]!Discount_tbl[Order ID], [1]!Discount_tbl[Discount %], 0)</f>
        <v>0</v>
      </c>
      <c r="M5" s="4">
        <f>tbl_Sales[[#This Row],[discount]]/100</f>
        <v>0</v>
      </c>
      <c r="N5" s="12">
        <f>(1-tbl_Sales[[#This Row],[Discount Percentage]]) * tbl_Sales[[#This Row],[Net Revenue]]</f>
        <v>2516</v>
      </c>
      <c r="O5" s="13"/>
      <c r="P5" s="14"/>
      <c r="R5" s="15" t="s">
        <v>60</v>
      </c>
      <c r="S5" s="13">
        <f>SUMIFS(tbl_Sales[Net Revenue], tbl_Sales[Region], R5)</f>
        <v>84618.75</v>
      </c>
      <c r="T5" s="14">
        <f>Table26[[#This Row],[Revenue]]/$K$170</f>
        <v>0.26989276531900092</v>
      </c>
    </row>
    <row r="6" spans="1:20" x14ac:dyDescent="0.2">
      <c r="A6" s="4" t="s">
        <v>36</v>
      </c>
      <c r="B6" s="5">
        <v>46014</v>
      </c>
      <c r="C6" s="4" t="s">
        <v>37</v>
      </c>
      <c r="D6" s="4" t="s">
        <v>38</v>
      </c>
      <c r="E6" s="4" t="s">
        <v>28</v>
      </c>
      <c r="F6" s="4" t="s">
        <v>39</v>
      </c>
      <c r="G6" s="4" t="s">
        <v>40</v>
      </c>
      <c r="H6" s="4">
        <v>23</v>
      </c>
      <c r="I6" s="10">
        <v>44</v>
      </c>
      <c r="J6" s="4" t="s">
        <v>19</v>
      </c>
      <c r="K6" s="11">
        <f>tbl_Sales[[#This Row],[Units]] *tbl_Sales[[#This Row],[Unit Price]]</f>
        <v>1012</v>
      </c>
      <c r="L6" s="4">
        <f>_xlfn.XLOOKUP(tbl_Sales[[#This Row],[Order ID]], [1]!Discount_tbl[Order ID], [1]!Discount_tbl[Discount %], 0)</f>
        <v>12.5</v>
      </c>
      <c r="M6" s="4">
        <f>tbl_Sales[[#This Row],[discount]]/100</f>
        <v>0.125</v>
      </c>
      <c r="N6" s="12">
        <f>(1-tbl_Sales[[#This Row],[Discount Percentage]]) * tbl_Sales[[#This Row],[Net Revenue]]</f>
        <v>885.5</v>
      </c>
      <c r="O6" s="13"/>
      <c r="P6" s="14"/>
    </row>
    <row r="7" spans="1:20" x14ac:dyDescent="0.2">
      <c r="A7" s="4" t="s">
        <v>41</v>
      </c>
      <c r="B7" s="5">
        <v>45983</v>
      </c>
      <c r="C7" s="4" t="s">
        <v>42</v>
      </c>
      <c r="D7" s="4" t="s">
        <v>43</v>
      </c>
      <c r="E7" s="4" t="s">
        <v>15</v>
      </c>
      <c r="F7" s="4" t="s">
        <v>39</v>
      </c>
      <c r="G7" s="4" t="s">
        <v>40</v>
      </c>
      <c r="H7" s="4">
        <v>19</v>
      </c>
      <c r="I7" s="10">
        <v>44</v>
      </c>
      <c r="J7" s="4" t="s">
        <v>35</v>
      </c>
      <c r="K7" s="11">
        <f>tbl_Sales[[#This Row],[Units]] *tbl_Sales[[#This Row],[Unit Price]]</f>
        <v>836</v>
      </c>
      <c r="L7" s="4">
        <f>_xlfn.XLOOKUP(tbl_Sales[[#This Row],[Order ID]], [1]!Discount_tbl[Order ID], [1]!Discount_tbl[Discount %], 0)</f>
        <v>0</v>
      </c>
      <c r="M7" s="4">
        <f>tbl_Sales[[#This Row],[discount]]/100</f>
        <v>0</v>
      </c>
      <c r="N7" s="17">
        <f>(1-tbl_Sales[[#This Row],[Discount Percentage]]) * tbl_Sales[[#This Row],[Net Revenue]]</f>
        <v>836</v>
      </c>
      <c r="O7" s="13"/>
      <c r="P7" s="14"/>
    </row>
    <row r="8" spans="1:20" x14ac:dyDescent="0.2">
      <c r="A8" s="4" t="s">
        <v>45</v>
      </c>
      <c r="B8" s="5">
        <v>46001</v>
      </c>
      <c r="C8" s="4" t="s">
        <v>46</v>
      </c>
      <c r="D8" s="4" t="s">
        <v>38</v>
      </c>
      <c r="E8" s="4" t="s">
        <v>28</v>
      </c>
      <c r="F8" s="4" t="s">
        <v>47</v>
      </c>
      <c r="G8" s="4" t="s">
        <v>40</v>
      </c>
      <c r="H8" s="4">
        <v>9</v>
      </c>
      <c r="I8" s="10">
        <v>21.99</v>
      </c>
      <c r="J8" s="4" t="s">
        <v>48</v>
      </c>
      <c r="K8" s="11">
        <f>tbl_Sales[[#This Row],[Units]] *tbl_Sales[[#This Row],[Unit Price]]</f>
        <v>197.91</v>
      </c>
      <c r="L8" s="4">
        <f>_xlfn.XLOOKUP(tbl_Sales[[#This Row],[Order ID]], [1]!Discount_tbl[Order ID], [1]!Discount_tbl[Discount %], 0)</f>
        <v>0</v>
      </c>
      <c r="M8" s="4">
        <f>tbl_Sales[[#This Row],[discount]]/100</f>
        <v>0</v>
      </c>
      <c r="N8" s="11">
        <f>(1-tbl_Sales[[#This Row],[Discount Percentage]]) * tbl_Sales[[#This Row],[Net Revenue]]</f>
        <v>197.91</v>
      </c>
      <c r="R8" t="s">
        <v>341</v>
      </c>
      <c r="S8" t="s">
        <v>339</v>
      </c>
      <c r="T8" t="s">
        <v>342</v>
      </c>
    </row>
    <row r="9" spans="1:20" x14ac:dyDescent="0.2">
      <c r="A9" s="4" t="s">
        <v>49</v>
      </c>
      <c r="B9" s="5">
        <v>45973</v>
      </c>
      <c r="C9" s="4" t="s">
        <v>50</v>
      </c>
      <c r="D9" s="4" t="s">
        <v>43</v>
      </c>
      <c r="E9" s="4" t="s">
        <v>343</v>
      </c>
      <c r="F9" s="4" t="s">
        <v>51</v>
      </c>
      <c r="G9" s="4" t="s">
        <v>30</v>
      </c>
      <c r="H9" s="4">
        <v>25</v>
      </c>
      <c r="I9" s="10">
        <v>340</v>
      </c>
      <c r="J9" s="4" t="s">
        <v>19</v>
      </c>
      <c r="K9" s="11">
        <f>tbl_Sales[[#This Row],[Units]] *tbl_Sales[[#This Row],[Unit Price]]</f>
        <v>8500</v>
      </c>
      <c r="L9" s="4">
        <f>_xlfn.XLOOKUP(tbl_Sales[[#This Row],[Order ID]], [1]!Discount_tbl[Order ID], [1]!Discount_tbl[Discount %], 0)</f>
        <v>0</v>
      </c>
      <c r="M9" s="4">
        <f>tbl_Sales[[#This Row],[discount]]/100</f>
        <v>0</v>
      </c>
      <c r="N9" s="11">
        <f>(1-tbl_Sales[[#This Row],[Discount Percentage]]) * tbl_Sales[[#This Row],[Net Revenue]]</f>
        <v>8500</v>
      </c>
      <c r="O9" s="18"/>
      <c r="P9" s="19"/>
      <c r="R9" t="s">
        <v>51</v>
      </c>
      <c r="S9" s="18">
        <f>SUMIFS(tbl_Sales[Net Revenue], tbl_Sales[Product], R9)</f>
        <v>111180</v>
      </c>
      <c r="T9" s="19">
        <f t="shared" ref="T9:T18" si="0">S9/$K$170</f>
        <v>0.35461026838811166</v>
      </c>
    </row>
    <row r="10" spans="1:20" x14ac:dyDescent="0.2">
      <c r="A10" s="4" t="s">
        <v>53</v>
      </c>
      <c r="B10" s="5">
        <v>45942</v>
      </c>
      <c r="C10" s="4" t="s">
        <v>54</v>
      </c>
      <c r="D10" s="4" t="s">
        <v>33</v>
      </c>
      <c r="E10" s="4" t="s">
        <v>343</v>
      </c>
      <c r="F10" s="4" t="s">
        <v>24</v>
      </c>
      <c r="G10" s="4" t="s">
        <v>17</v>
      </c>
      <c r="H10" s="4">
        <v>15</v>
      </c>
      <c r="I10" s="10">
        <v>68</v>
      </c>
      <c r="J10" s="4" t="s">
        <v>48</v>
      </c>
      <c r="K10" s="11">
        <f>tbl_Sales[[#This Row],[Units]] *tbl_Sales[[#This Row],[Unit Price]]</f>
        <v>1020</v>
      </c>
      <c r="L10" s="4">
        <f>_xlfn.XLOOKUP(tbl_Sales[[#This Row],[Order ID]], [1]!Discount_tbl[Order ID], [1]!Discount_tbl[Discount %], 0)</f>
        <v>0</v>
      </c>
      <c r="M10" s="4">
        <f>tbl_Sales[[#This Row],[discount]]/100</f>
        <v>0</v>
      </c>
      <c r="N10" s="11">
        <f>(1-tbl_Sales[[#This Row],[Discount Percentage]]) * tbl_Sales[[#This Row],[Net Revenue]]</f>
        <v>1020</v>
      </c>
      <c r="O10" s="18"/>
      <c r="P10" s="19"/>
      <c r="R10" t="s">
        <v>119</v>
      </c>
      <c r="S10" s="18">
        <f>SUMIFS(tbl_Sales[Net Revenue], tbl_Sales[Product], R10)</f>
        <v>77112</v>
      </c>
      <c r="T10" s="19">
        <f t="shared" si="0"/>
        <v>0.24594987422147929</v>
      </c>
    </row>
    <row r="11" spans="1:20" x14ac:dyDescent="0.2">
      <c r="A11" s="4" t="s">
        <v>55</v>
      </c>
      <c r="B11" s="5">
        <v>45993</v>
      </c>
      <c r="C11" s="4" t="s">
        <v>57</v>
      </c>
      <c r="D11" s="4" t="s">
        <v>33</v>
      </c>
      <c r="E11" s="4" t="s">
        <v>23</v>
      </c>
      <c r="F11" s="4" t="s">
        <v>51</v>
      </c>
      <c r="G11" s="4" t="s">
        <v>30</v>
      </c>
      <c r="H11" s="4">
        <v>39</v>
      </c>
      <c r="I11" s="10">
        <v>340</v>
      </c>
      <c r="J11" s="4" t="s">
        <v>48</v>
      </c>
      <c r="K11" s="11">
        <f>tbl_Sales[[#This Row],[Units]] *tbl_Sales[[#This Row],[Unit Price]]</f>
        <v>13260</v>
      </c>
      <c r="L11" s="4">
        <f>_xlfn.XLOOKUP(tbl_Sales[[#This Row],[Order ID]], [1]!Discount_tbl[Order ID], [1]!Discount_tbl[Discount %], 0)</f>
        <v>0</v>
      </c>
      <c r="M11" s="4">
        <f>tbl_Sales[[#This Row],[discount]]/100</f>
        <v>0</v>
      </c>
      <c r="N11" s="11">
        <f>(1-tbl_Sales[[#This Row],[Discount Percentage]]) * tbl_Sales[[#This Row],[Net Revenue]]</f>
        <v>13260</v>
      </c>
      <c r="O11" s="18"/>
      <c r="P11" s="19"/>
      <c r="R11" t="s">
        <v>29</v>
      </c>
      <c r="S11" s="18">
        <f>SUMIFS(tbl_Sales[Net Revenue], tbl_Sales[Product], R11)</f>
        <v>36108</v>
      </c>
      <c r="T11" s="19">
        <f t="shared" si="0"/>
        <v>0.11516700459577205</v>
      </c>
    </row>
    <row r="12" spans="1:20" x14ac:dyDescent="0.2">
      <c r="A12" s="4" t="s">
        <v>59</v>
      </c>
      <c r="B12" s="5">
        <v>45977</v>
      </c>
      <c r="C12" s="4" t="s">
        <v>32</v>
      </c>
      <c r="D12" s="4" t="s">
        <v>60</v>
      </c>
      <c r="E12" s="4" t="s">
        <v>15</v>
      </c>
      <c r="F12" s="4" t="s">
        <v>29</v>
      </c>
      <c r="G12" s="4" t="s">
        <v>30</v>
      </c>
      <c r="H12" s="4">
        <v>18</v>
      </c>
      <c r="I12" s="10">
        <v>76.5</v>
      </c>
      <c r="J12" s="4" t="s">
        <v>35</v>
      </c>
      <c r="K12" s="11">
        <f>tbl_Sales[[#This Row],[Units]] *tbl_Sales[[#This Row],[Unit Price]]</f>
        <v>1377</v>
      </c>
      <c r="L12" s="4">
        <f>_xlfn.XLOOKUP(tbl_Sales[[#This Row],[Order ID]], [1]!Discount_tbl[Order ID], [1]!Discount_tbl[Discount %], 0)</f>
        <v>7.5</v>
      </c>
      <c r="M12" s="4">
        <f>tbl_Sales[[#This Row],[discount]]/100</f>
        <v>7.4999999999999997E-2</v>
      </c>
      <c r="N12" s="11">
        <f>(1-tbl_Sales[[#This Row],[Discount Percentage]]) * tbl_Sales[[#This Row],[Net Revenue]]</f>
        <v>1273.7250000000001</v>
      </c>
      <c r="O12" s="18"/>
      <c r="P12" s="19"/>
      <c r="R12" t="s">
        <v>24</v>
      </c>
      <c r="S12" s="18">
        <f>SUMIFS(tbl_Sales[Net Revenue], tbl_Sales[Product], R12)</f>
        <v>28900</v>
      </c>
      <c r="T12" s="19">
        <f t="shared" si="0"/>
        <v>9.2176981079478568E-2</v>
      </c>
    </row>
    <row r="13" spans="1:20" x14ac:dyDescent="0.2">
      <c r="A13" s="4" t="s">
        <v>61</v>
      </c>
      <c r="B13" s="5">
        <v>45991</v>
      </c>
      <c r="C13" s="4" t="s">
        <v>37</v>
      </c>
      <c r="D13" s="4" t="s">
        <v>60</v>
      </c>
      <c r="E13" s="4" t="s">
        <v>63</v>
      </c>
      <c r="F13" s="4" t="s">
        <v>16</v>
      </c>
      <c r="G13" s="4" t="s">
        <v>17</v>
      </c>
      <c r="H13" s="4">
        <v>4</v>
      </c>
      <c r="I13" s="10">
        <v>94.75</v>
      </c>
      <c r="J13" s="4" t="s">
        <v>19</v>
      </c>
      <c r="K13" s="11">
        <f>tbl_Sales[[#This Row],[Units]] *tbl_Sales[[#This Row],[Unit Price]]</f>
        <v>379</v>
      </c>
      <c r="L13" s="4">
        <f>_xlfn.XLOOKUP(tbl_Sales[[#This Row],[Order ID]], [1]!Discount_tbl[Order ID], [1]!Discount_tbl[Discount %], 0)</f>
        <v>0</v>
      </c>
      <c r="M13" s="4">
        <f>tbl_Sales[[#This Row],[discount]]/100</f>
        <v>0</v>
      </c>
      <c r="N13" s="11">
        <f>(1-tbl_Sales[[#This Row],[Discount Percentage]]) * tbl_Sales[[#This Row],[Net Revenue]]</f>
        <v>379</v>
      </c>
      <c r="O13" s="18"/>
      <c r="P13" s="19"/>
      <c r="R13" t="s">
        <v>16</v>
      </c>
      <c r="S13" s="18">
        <f>SUMIFS(tbl_Sales[Net Revenue], tbl_Sales[Product], R13)</f>
        <v>21697.75</v>
      </c>
      <c r="T13" s="19">
        <f t="shared" si="0"/>
        <v>6.9205297273953498E-2</v>
      </c>
    </row>
    <row r="14" spans="1:20" x14ac:dyDescent="0.2">
      <c r="A14" s="4" t="s">
        <v>64</v>
      </c>
      <c r="B14" s="5">
        <v>45994</v>
      </c>
      <c r="C14" s="4" t="s">
        <v>57</v>
      </c>
      <c r="D14" s="4" t="s">
        <v>60</v>
      </c>
      <c r="E14" s="4" t="s">
        <v>343</v>
      </c>
      <c r="F14" s="4" t="s">
        <v>16</v>
      </c>
      <c r="G14" s="4" t="s">
        <v>17</v>
      </c>
      <c r="H14" s="4">
        <v>40</v>
      </c>
      <c r="I14" s="10">
        <v>94.75</v>
      </c>
      <c r="J14" s="4" t="s">
        <v>48</v>
      </c>
      <c r="K14" s="11">
        <f>tbl_Sales[[#This Row],[Units]] *tbl_Sales[[#This Row],[Unit Price]]</f>
        <v>3790</v>
      </c>
      <c r="L14" s="4">
        <f>_xlfn.XLOOKUP(tbl_Sales[[#This Row],[Order ID]], [1]!Discount_tbl[Order ID], [1]!Discount_tbl[Discount %], 0)</f>
        <v>0</v>
      </c>
      <c r="M14" s="4">
        <f>tbl_Sales[[#This Row],[discount]]/100</f>
        <v>0</v>
      </c>
      <c r="N14" s="11">
        <f>(1-tbl_Sales[[#This Row],[Discount Percentage]]) * tbl_Sales[[#This Row],[Net Revenue]]</f>
        <v>3790</v>
      </c>
      <c r="O14" s="18"/>
      <c r="P14" s="19"/>
      <c r="R14" t="s">
        <v>39</v>
      </c>
      <c r="S14" s="18">
        <f>SUMIFS(tbl_Sales[Net Revenue], tbl_Sales[Product], R14)</f>
        <v>13596</v>
      </c>
      <c r="T14" s="19">
        <f t="shared" si="0"/>
        <v>4.336464480126611E-2</v>
      </c>
    </row>
    <row r="15" spans="1:20" x14ac:dyDescent="0.2">
      <c r="A15" s="4" t="s">
        <v>65</v>
      </c>
      <c r="B15" s="5">
        <v>45946</v>
      </c>
      <c r="C15" s="4" t="s">
        <v>57</v>
      </c>
      <c r="D15" s="4" t="s">
        <v>33</v>
      </c>
      <c r="E15" s="4" t="s">
        <v>63</v>
      </c>
      <c r="F15" s="4" t="s">
        <v>68</v>
      </c>
      <c r="G15" s="4" t="s">
        <v>69</v>
      </c>
      <c r="H15" s="4">
        <v>5</v>
      </c>
      <c r="I15" s="10">
        <v>18.399999999999999</v>
      </c>
      <c r="J15" s="4" t="s">
        <v>35</v>
      </c>
      <c r="K15" s="11">
        <f>tbl_Sales[[#This Row],[Units]] *tbl_Sales[[#This Row],[Unit Price]]</f>
        <v>92</v>
      </c>
      <c r="L15" s="4">
        <f>_xlfn.XLOOKUP(tbl_Sales[[#This Row],[Order ID]], [1]!Discount_tbl[Order ID], [1]!Discount_tbl[Discount %], 0)</f>
        <v>2.5</v>
      </c>
      <c r="M15" s="4">
        <f>tbl_Sales[[#This Row],[discount]]/100</f>
        <v>2.5000000000000001E-2</v>
      </c>
      <c r="N15" s="11">
        <f>(1-tbl_Sales[[#This Row],[Discount Percentage]]) * tbl_Sales[[#This Row],[Net Revenue]]</f>
        <v>89.7</v>
      </c>
      <c r="O15" s="18"/>
      <c r="P15" s="19"/>
      <c r="R15" t="s">
        <v>102</v>
      </c>
      <c r="S15" s="18">
        <f>SUMIFS(tbl_Sales[Net Revenue], tbl_Sales[Product], R15)</f>
        <v>8820</v>
      </c>
      <c r="T15" s="19">
        <f t="shared" si="0"/>
        <v>2.813152156128031E-2</v>
      </c>
    </row>
    <row r="16" spans="1:20" x14ac:dyDescent="0.2">
      <c r="A16" s="4" t="s">
        <v>70</v>
      </c>
      <c r="B16" s="5">
        <v>45988</v>
      </c>
      <c r="C16" s="4" t="s">
        <v>46</v>
      </c>
      <c r="D16" s="4" t="s">
        <v>33</v>
      </c>
      <c r="E16" s="4" t="s">
        <v>63</v>
      </c>
      <c r="F16" s="4" t="s">
        <v>68</v>
      </c>
      <c r="G16" s="4" t="s">
        <v>69</v>
      </c>
      <c r="H16" s="4">
        <v>21</v>
      </c>
      <c r="I16" s="10">
        <v>18.399999999999999</v>
      </c>
      <c r="J16" s="4" t="s">
        <v>35</v>
      </c>
      <c r="K16" s="11">
        <f>tbl_Sales[[#This Row],[Units]] *tbl_Sales[[#This Row],[Unit Price]]</f>
        <v>386.4</v>
      </c>
      <c r="L16" s="4">
        <f>_xlfn.XLOOKUP(tbl_Sales[[#This Row],[Order ID]], [1]!Discount_tbl[Order ID], [1]!Discount_tbl[Discount %], 0)</f>
        <v>0</v>
      </c>
      <c r="M16" s="4">
        <f>tbl_Sales[[#This Row],[discount]]/100</f>
        <v>0</v>
      </c>
      <c r="N16" s="11">
        <f>(1-tbl_Sales[[#This Row],[Discount Percentage]]) * tbl_Sales[[#This Row],[Net Revenue]]</f>
        <v>386.4</v>
      </c>
      <c r="O16" s="18"/>
      <c r="P16" s="19"/>
      <c r="R16" t="s">
        <v>68</v>
      </c>
      <c r="S16" s="18">
        <f>SUMIFS(tbl_Sales[Net Revenue], tbl_Sales[Product], R16)</f>
        <v>6219.2</v>
      </c>
      <c r="T16" s="19">
        <f t="shared" si="0"/>
        <v>1.9836231167110488E-2</v>
      </c>
    </row>
    <row r="17" spans="1:20" x14ac:dyDescent="0.2">
      <c r="A17" s="4" t="s">
        <v>72</v>
      </c>
      <c r="B17" s="5">
        <v>45969</v>
      </c>
      <c r="C17" s="4" t="s">
        <v>50</v>
      </c>
      <c r="D17" s="4" t="s">
        <v>33</v>
      </c>
      <c r="E17" s="4" t="s">
        <v>23</v>
      </c>
      <c r="F17" s="4" t="s">
        <v>47</v>
      </c>
      <c r="G17" s="4" t="s">
        <v>40</v>
      </c>
      <c r="H17" s="4">
        <v>6</v>
      </c>
      <c r="I17" s="10">
        <v>21.99</v>
      </c>
      <c r="J17" s="4" t="s">
        <v>19</v>
      </c>
      <c r="K17" s="11">
        <f>tbl_Sales[[#This Row],[Units]] *tbl_Sales[[#This Row],[Unit Price]]</f>
        <v>131.94</v>
      </c>
      <c r="L17" s="4">
        <f>_xlfn.XLOOKUP(tbl_Sales[[#This Row],[Order ID]], [1]!Discount_tbl[Order ID], [1]!Discount_tbl[Discount %], 0)</f>
        <v>0</v>
      </c>
      <c r="M17" s="4">
        <f>tbl_Sales[[#This Row],[discount]]/100</f>
        <v>0</v>
      </c>
      <c r="N17" s="11">
        <f>(1-tbl_Sales[[#This Row],[Discount Percentage]]) * tbl_Sales[[#This Row],[Net Revenue]]</f>
        <v>131.94</v>
      </c>
      <c r="O17" s="18"/>
      <c r="P17" s="19"/>
      <c r="R17" t="s">
        <v>47</v>
      </c>
      <c r="S17" s="18">
        <f>SUMIFS(tbl_Sales[Net Revenue], tbl_Sales[Product], R17)</f>
        <v>5827.3499999999995</v>
      </c>
      <c r="T17" s="19">
        <f t="shared" si="0"/>
        <v>1.8586419747179908E-2</v>
      </c>
    </row>
    <row r="18" spans="1:20" x14ac:dyDescent="0.2">
      <c r="A18" s="4" t="s">
        <v>77</v>
      </c>
      <c r="B18" s="5">
        <v>45954</v>
      </c>
      <c r="C18" s="4" t="s">
        <v>78</v>
      </c>
      <c r="D18" s="4" t="s">
        <v>60</v>
      </c>
      <c r="E18" s="4" t="s">
        <v>34</v>
      </c>
      <c r="F18" s="4" t="s">
        <v>39</v>
      </c>
      <c r="G18" s="4" t="s">
        <v>40</v>
      </c>
      <c r="H18" s="4">
        <v>23</v>
      </c>
      <c r="I18" s="10">
        <v>44</v>
      </c>
      <c r="J18" s="4" t="s">
        <v>35</v>
      </c>
      <c r="K18" s="11">
        <f>tbl_Sales[[#This Row],[Units]] *tbl_Sales[[#This Row],[Unit Price]]</f>
        <v>1012</v>
      </c>
      <c r="L18" s="4">
        <f>_xlfn.XLOOKUP(tbl_Sales[[#This Row],[Order ID]], [1]!Discount_tbl[Order ID], [1]!Discount_tbl[Discount %], 0)</f>
        <v>0</v>
      </c>
      <c r="M18" s="4">
        <f>tbl_Sales[[#This Row],[discount]]/100</f>
        <v>0</v>
      </c>
      <c r="N18" s="11">
        <f>(1-tbl_Sales[[#This Row],[Discount Percentage]]) * tbl_Sales[[#This Row],[Net Revenue]]</f>
        <v>1012</v>
      </c>
      <c r="O18" s="18"/>
      <c r="P18" s="19"/>
      <c r="R18" t="s">
        <v>122</v>
      </c>
      <c r="S18" s="18">
        <f>SUMIFS(tbl_Sales[Net Revenue], tbl_Sales[Product], R18)</f>
        <v>4067</v>
      </c>
      <c r="T18" s="19">
        <f t="shared" si="0"/>
        <v>1.2971757164368143E-2</v>
      </c>
    </row>
    <row r="19" spans="1:20" x14ac:dyDescent="0.2">
      <c r="A19" s="4" t="s">
        <v>81</v>
      </c>
      <c r="B19" s="5">
        <v>45964</v>
      </c>
      <c r="C19" s="4" t="s">
        <v>78</v>
      </c>
      <c r="D19" s="4" t="s">
        <v>33</v>
      </c>
      <c r="E19" s="4" t="s">
        <v>28</v>
      </c>
      <c r="F19" s="4" t="s">
        <v>16</v>
      </c>
      <c r="G19" s="4" t="s">
        <v>17</v>
      </c>
      <c r="H19" s="4">
        <v>21</v>
      </c>
      <c r="I19" s="10">
        <v>94.75</v>
      </c>
      <c r="J19" s="4" t="s">
        <v>82</v>
      </c>
      <c r="K19" s="11">
        <f>tbl_Sales[[#This Row],[Units]] *tbl_Sales[[#This Row],[Unit Price]]</f>
        <v>1989.75</v>
      </c>
      <c r="L19" s="4">
        <f>_xlfn.XLOOKUP(tbl_Sales[[#This Row],[Order ID]], [1]!Discount_tbl[Order ID], [1]!Discount_tbl[Discount %], 0)</f>
        <v>5</v>
      </c>
      <c r="M19" s="4">
        <f>tbl_Sales[[#This Row],[discount]]/100</f>
        <v>0.05</v>
      </c>
      <c r="N19" s="11">
        <f>(1-tbl_Sales[[#This Row],[Discount Percentage]]) * tbl_Sales[[#This Row],[Net Revenue]]</f>
        <v>1890.2624999999998</v>
      </c>
    </row>
    <row r="20" spans="1:20" x14ac:dyDescent="0.2">
      <c r="A20" s="4" t="s">
        <v>83</v>
      </c>
      <c r="B20" s="5">
        <v>45973</v>
      </c>
      <c r="C20" s="4" t="s">
        <v>75</v>
      </c>
      <c r="D20" s="4" t="s">
        <v>38</v>
      </c>
      <c r="E20" s="4" t="s">
        <v>343</v>
      </c>
      <c r="F20" s="4" t="s">
        <v>29</v>
      </c>
      <c r="G20" s="4" t="s">
        <v>30</v>
      </c>
      <c r="H20" s="4">
        <v>36</v>
      </c>
      <c r="I20" s="10">
        <v>76.5</v>
      </c>
      <c r="J20" s="4" t="s">
        <v>82</v>
      </c>
      <c r="K20" s="11">
        <f>tbl_Sales[[#This Row],[Units]] *tbl_Sales[[#This Row],[Unit Price]]</f>
        <v>2754</v>
      </c>
      <c r="L20" s="4">
        <f>_xlfn.XLOOKUP(tbl_Sales[[#This Row],[Order ID]], [1]!Discount_tbl[Order ID], [1]!Discount_tbl[Discount %], 0)</f>
        <v>0</v>
      </c>
      <c r="M20" s="4">
        <f>tbl_Sales[[#This Row],[discount]]/100</f>
        <v>0</v>
      </c>
      <c r="N20" s="11">
        <f>(1-tbl_Sales[[#This Row],[Discount Percentage]]) * tbl_Sales[[#This Row],[Net Revenue]]</f>
        <v>2754</v>
      </c>
    </row>
    <row r="21" spans="1:20" x14ac:dyDescent="0.2">
      <c r="A21" s="4" t="s">
        <v>84</v>
      </c>
      <c r="B21" s="5">
        <v>46015</v>
      </c>
      <c r="C21" s="4" t="s">
        <v>54</v>
      </c>
      <c r="D21" s="4" t="s">
        <v>60</v>
      </c>
      <c r="E21" s="4" t="s">
        <v>63</v>
      </c>
      <c r="F21" s="4" t="s">
        <v>68</v>
      </c>
      <c r="G21" s="4" t="s">
        <v>69</v>
      </c>
      <c r="H21" s="4">
        <v>17</v>
      </c>
      <c r="I21" s="10">
        <v>18.399999999999999</v>
      </c>
      <c r="J21" s="4" t="s">
        <v>82</v>
      </c>
      <c r="K21" s="11">
        <f>tbl_Sales[[#This Row],[Units]] *tbl_Sales[[#This Row],[Unit Price]]</f>
        <v>312.79999999999995</v>
      </c>
      <c r="L21" s="4">
        <f>_xlfn.XLOOKUP(tbl_Sales[[#This Row],[Order ID]], [1]!Discount_tbl[Order ID], [1]!Discount_tbl[Discount %], 0)</f>
        <v>0</v>
      </c>
      <c r="M21" s="4">
        <f>tbl_Sales[[#This Row],[discount]]/100</f>
        <v>0</v>
      </c>
      <c r="N21" s="11">
        <f>(1-tbl_Sales[[#This Row],[Discount Percentage]]) * tbl_Sales[[#This Row],[Net Revenue]]</f>
        <v>312.79999999999995</v>
      </c>
    </row>
    <row r="22" spans="1:20" x14ac:dyDescent="0.2">
      <c r="A22" s="4" t="s">
        <v>86</v>
      </c>
      <c r="B22" s="5">
        <v>45992</v>
      </c>
      <c r="C22" s="4" t="s">
        <v>87</v>
      </c>
      <c r="D22" s="4" t="s">
        <v>38</v>
      </c>
      <c r="E22" s="4" t="s">
        <v>63</v>
      </c>
      <c r="F22" s="4" t="s">
        <v>68</v>
      </c>
      <c r="G22" s="4" t="s">
        <v>69</v>
      </c>
      <c r="H22" s="4">
        <v>6</v>
      </c>
      <c r="I22" s="10">
        <v>18.399999999999999</v>
      </c>
      <c r="J22" s="4" t="s">
        <v>35</v>
      </c>
      <c r="K22" s="11">
        <f>tbl_Sales[[#This Row],[Units]] *tbl_Sales[[#This Row],[Unit Price]]</f>
        <v>110.39999999999999</v>
      </c>
      <c r="L22" s="4">
        <f>_xlfn.XLOOKUP(tbl_Sales[[#This Row],[Order ID]], [1]!Discount_tbl[Order ID], [1]!Discount_tbl[Discount %], 0)</f>
        <v>0</v>
      </c>
      <c r="M22" s="4">
        <f>tbl_Sales[[#This Row],[discount]]/100</f>
        <v>0</v>
      </c>
      <c r="N22" s="11">
        <f>(1-tbl_Sales[[#This Row],[Discount Percentage]]) * tbl_Sales[[#This Row],[Net Revenue]]</f>
        <v>110.39999999999999</v>
      </c>
    </row>
    <row r="23" spans="1:20" x14ac:dyDescent="0.2">
      <c r="A23" s="4" t="s">
        <v>91</v>
      </c>
      <c r="B23" s="5">
        <v>46011</v>
      </c>
      <c r="C23" s="4" t="s">
        <v>32</v>
      </c>
      <c r="D23" s="4" t="s">
        <v>33</v>
      </c>
      <c r="E23" s="4" t="s">
        <v>23</v>
      </c>
      <c r="F23" s="4" t="s">
        <v>24</v>
      </c>
      <c r="G23" s="4" t="s">
        <v>17</v>
      </c>
      <c r="H23" s="4">
        <v>14</v>
      </c>
      <c r="I23" s="10">
        <v>68</v>
      </c>
      <c r="J23" s="4" t="s">
        <v>82</v>
      </c>
      <c r="K23" s="11">
        <f>tbl_Sales[[#This Row],[Units]] *tbl_Sales[[#This Row],[Unit Price]]</f>
        <v>952</v>
      </c>
      <c r="L23" s="4">
        <f>_xlfn.XLOOKUP(tbl_Sales[[#This Row],[Order ID]], [1]!Discount_tbl[Order ID], [1]!Discount_tbl[Discount %], 0)</f>
        <v>0</v>
      </c>
      <c r="M23" s="4">
        <f>tbl_Sales[[#This Row],[discount]]/100</f>
        <v>0</v>
      </c>
      <c r="N23" s="11">
        <f>(1-tbl_Sales[[#This Row],[Discount Percentage]]) * tbl_Sales[[#This Row],[Net Revenue]]</f>
        <v>952</v>
      </c>
    </row>
    <row r="24" spans="1:20" x14ac:dyDescent="0.2">
      <c r="A24" s="4" t="s">
        <v>92</v>
      </c>
      <c r="B24" s="5">
        <v>45951</v>
      </c>
      <c r="C24" s="4" t="s">
        <v>37</v>
      </c>
      <c r="D24" s="4" t="s">
        <v>60</v>
      </c>
      <c r="E24" s="4" t="s">
        <v>28</v>
      </c>
      <c r="F24" s="4" t="s">
        <v>68</v>
      </c>
      <c r="G24" s="4" t="s">
        <v>69</v>
      </c>
      <c r="H24" s="4">
        <v>33</v>
      </c>
      <c r="I24" s="10">
        <v>18.399999999999999</v>
      </c>
      <c r="J24" s="4" t="s">
        <v>19</v>
      </c>
      <c r="K24" s="11">
        <f>tbl_Sales[[#This Row],[Units]] *tbl_Sales[[#This Row],[Unit Price]]</f>
        <v>607.19999999999993</v>
      </c>
      <c r="L24" s="4">
        <f>_xlfn.XLOOKUP(tbl_Sales[[#This Row],[Order ID]], [1]!Discount_tbl[Order ID], [1]!Discount_tbl[Discount %], 0)</f>
        <v>2.5</v>
      </c>
      <c r="M24" s="4">
        <f>tbl_Sales[[#This Row],[discount]]/100</f>
        <v>2.5000000000000001E-2</v>
      </c>
      <c r="N24" s="11">
        <f>(1-tbl_Sales[[#This Row],[Discount Percentage]]) * tbl_Sales[[#This Row],[Net Revenue]]</f>
        <v>592.01999999999987</v>
      </c>
    </row>
    <row r="25" spans="1:20" x14ac:dyDescent="0.2">
      <c r="A25" s="4" t="s">
        <v>96</v>
      </c>
      <c r="B25" s="5">
        <v>46003</v>
      </c>
      <c r="C25" s="4" t="s">
        <v>98</v>
      </c>
      <c r="D25" s="4" t="s">
        <v>60</v>
      </c>
      <c r="E25" s="4" t="s">
        <v>34</v>
      </c>
      <c r="F25" s="4" t="s">
        <v>29</v>
      </c>
      <c r="G25" s="4" t="s">
        <v>30</v>
      </c>
      <c r="H25" s="4">
        <v>38</v>
      </c>
      <c r="I25" s="10">
        <v>76.5</v>
      </c>
      <c r="J25" s="4" t="s">
        <v>25</v>
      </c>
      <c r="K25" s="11">
        <f>tbl_Sales[[#This Row],[Units]] *tbl_Sales[[#This Row],[Unit Price]]</f>
        <v>2907</v>
      </c>
      <c r="L25" s="4">
        <f>_xlfn.XLOOKUP(tbl_Sales[[#This Row],[Order ID]], [1]!Discount_tbl[Order ID], [1]!Discount_tbl[Discount %], 0)</f>
        <v>0</v>
      </c>
      <c r="M25" s="4">
        <f>tbl_Sales[[#This Row],[discount]]/100</f>
        <v>0</v>
      </c>
      <c r="N25" s="11">
        <f>(1-tbl_Sales[[#This Row],[Discount Percentage]]) * tbl_Sales[[#This Row],[Net Revenue]]</f>
        <v>2907</v>
      </c>
    </row>
    <row r="26" spans="1:20" x14ac:dyDescent="0.2">
      <c r="A26" s="4" t="s">
        <v>100</v>
      </c>
      <c r="B26" s="5">
        <v>45936</v>
      </c>
      <c r="C26" s="4" t="s">
        <v>37</v>
      </c>
      <c r="D26" s="4" t="s">
        <v>43</v>
      </c>
      <c r="E26" s="4" t="s">
        <v>34</v>
      </c>
      <c r="F26" s="4" t="s">
        <v>102</v>
      </c>
      <c r="G26" s="4" t="s">
        <v>103</v>
      </c>
      <c r="H26" s="4">
        <v>20</v>
      </c>
      <c r="I26" s="10">
        <v>24.5</v>
      </c>
      <c r="J26" s="4" t="s">
        <v>48</v>
      </c>
      <c r="K26" s="11">
        <f>tbl_Sales[[#This Row],[Units]] *tbl_Sales[[#This Row],[Unit Price]]</f>
        <v>490</v>
      </c>
      <c r="L26" s="4">
        <f>_xlfn.XLOOKUP(tbl_Sales[[#This Row],[Order ID]], [1]!Discount_tbl[Order ID], [1]!Discount_tbl[Discount %], 0)</f>
        <v>0</v>
      </c>
      <c r="M26" s="4">
        <f>tbl_Sales[[#This Row],[discount]]/100</f>
        <v>0</v>
      </c>
      <c r="N26" s="11">
        <f>(1-tbl_Sales[[#This Row],[Discount Percentage]]) * tbl_Sales[[#This Row],[Net Revenue]]</f>
        <v>490</v>
      </c>
    </row>
    <row r="27" spans="1:20" x14ac:dyDescent="0.2">
      <c r="A27" s="4" t="s">
        <v>104</v>
      </c>
      <c r="B27" s="5">
        <v>45943</v>
      </c>
      <c r="C27" s="4" t="s">
        <v>54</v>
      </c>
      <c r="D27" s="4" t="s">
        <v>33</v>
      </c>
      <c r="E27" s="4" t="s">
        <v>23</v>
      </c>
      <c r="F27" s="4" t="s">
        <v>102</v>
      </c>
      <c r="G27" s="4" t="s">
        <v>103</v>
      </c>
      <c r="H27" s="4">
        <v>14</v>
      </c>
      <c r="I27" s="10">
        <v>24.5</v>
      </c>
      <c r="J27" s="4" t="s">
        <v>25</v>
      </c>
      <c r="K27" s="11">
        <f>tbl_Sales[[#This Row],[Units]] *tbl_Sales[[#This Row],[Unit Price]]</f>
        <v>343</v>
      </c>
      <c r="L27" s="4">
        <f>_xlfn.XLOOKUP(tbl_Sales[[#This Row],[Order ID]], [1]!Discount_tbl[Order ID], [1]!Discount_tbl[Discount %], 0)</f>
        <v>0</v>
      </c>
      <c r="M27" s="4">
        <f>tbl_Sales[[#This Row],[discount]]/100</f>
        <v>0</v>
      </c>
      <c r="N27" s="11">
        <f>(1-tbl_Sales[[#This Row],[Discount Percentage]]) * tbl_Sales[[#This Row],[Net Revenue]]</f>
        <v>343</v>
      </c>
    </row>
    <row r="28" spans="1:20" x14ac:dyDescent="0.2">
      <c r="A28" s="4" t="s">
        <v>106</v>
      </c>
      <c r="B28" s="5">
        <v>45988</v>
      </c>
      <c r="C28" s="4" t="s">
        <v>95</v>
      </c>
      <c r="D28" s="4" t="s">
        <v>60</v>
      </c>
      <c r="E28" s="4" t="s">
        <v>343</v>
      </c>
      <c r="F28" s="4" t="s">
        <v>39</v>
      </c>
      <c r="G28" s="4" t="s">
        <v>40</v>
      </c>
      <c r="H28" s="4">
        <v>40</v>
      </c>
      <c r="I28" s="10">
        <v>44</v>
      </c>
      <c r="J28" s="4" t="s">
        <v>35</v>
      </c>
      <c r="K28" s="11">
        <f>tbl_Sales[[#This Row],[Units]] *tbl_Sales[[#This Row],[Unit Price]]</f>
        <v>1760</v>
      </c>
      <c r="L28" s="4">
        <f>_xlfn.XLOOKUP(tbl_Sales[[#This Row],[Order ID]], [1]!Discount_tbl[Order ID], [1]!Discount_tbl[Discount %], 0)</f>
        <v>0</v>
      </c>
      <c r="M28" s="4">
        <f>tbl_Sales[[#This Row],[discount]]/100</f>
        <v>0</v>
      </c>
      <c r="N28" s="11">
        <f>(1-tbl_Sales[[#This Row],[Discount Percentage]]) * tbl_Sales[[#This Row],[Net Revenue]]</f>
        <v>1760</v>
      </c>
    </row>
    <row r="29" spans="1:20" x14ac:dyDescent="0.2">
      <c r="A29" s="4" t="s">
        <v>108</v>
      </c>
      <c r="B29" s="5">
        <v>45997</v>
      </c>
      <c r="C29" s="4" t="s">
        <v>109</v>
      </c>
      <c r="D29" s="4" t="s">
        <v>43</v>
      </c>
      <c r="E29" s="4" t="s">
        <v>23</v>
      </c>
      <c r="F29" s="4" t="s">
        <v>47</v>
      </c>
      <c r="G29" s="4" t="s">
        <v>40</v>
      </c>
      <c r="H29" s="4">
        <v>35</v>
      </c>
      <c r="I29" s="10">
        <v>21.99</v>
      </c>
      <c r="J29" s="4" t="s">
        <v>19</v>
      </c>
      <c r="K29" s="11">
        <f>tbl_Sales[[#This Row],[Units]] *tbl_Sales[[#This Row],[Unit Price]]</f>
        <v>769.65</v>
      </c>
      <c r="L29" s="4">
        <f>_xlfn.XLOOKUP(tbl_Sales[[#This Row],[Order ID]], [1]!Discount_tbl[Order ID], [1]!Discount_tbl[Discount %], 0)</f>
        <v>0</v>
      </c>
      <c r="M29" s="4">
        <f>tbl_Sales[[#This Row],[discount]]/100</f>
        <v>0</v>
      </c>
      <c r="N29" s="11">
        <f>(1-tbl_Sales[[#This Row],[Discount Percentage]]) * tbl_Sales[[#This Row],[Net Revenue]]</f>
        <v>769.65</v>
      </c>
    </row>
    <row r="30" spans="1:20" x14ac:dyDescent="0.2">
      <c r="A30" s="4" t="s">
        <v>112</v>
      </c>
      <c r="B30" s="5">
        <v>46004</v>
      </c>
      <c r="C30" s="4" t="s">
        <v>113</v>
      </c>
      <c r="D30" s="4" t="s">
        <v>43</v>
      </c>
      <c r="E30" s="4" t="s">
        <v>28</v>
      </c>
      <c r="F30" s="4" t="s">
        <v>29</v>
      </c>
      <c r="G30" s="4" t="s">
        <v>30</v>
      </c>
      <c r="H30" s="4">
        <v>7</v>
      </c>
      <c r="I30" s="10">
        <v>76.5</v>
      </c>
      <c r="J30" s="4" t="s">
        <v>35</v>
      </c>
      <c r="K30" s="11">
        <f>tbl_Sales[[#This Row],[Units]] *tbl_Sales[[#This Row],[Unit Price]]</f>
        <v>535.5</v>
      </c>
      <c r="L30" s="4">
        <f>_xlfn.XLOOKUP(tbl_Sales[[#This Row],[Order ID]], [1]!Discount_tbl[Order ID], [1]!Discount_tbl[Discount %], 0)</f>
        <v>5</v>
      </c>
      <c r="M30" s="4">
        <f>tbl_Sales[[#This Row],[discount]]/100</f>
        <v>0.05</v>
      </c>
      <c r="N30" s="11">
        <f>(1-tbl_Sales[[#This Row],[Discount Percentage]]) * tbl_Sales[[#This Row],[Net Revenue]]</f>
        <v>508.72499999999997</v>
      </c>
    </row>
    <row r="31" spans="1:20" x14ac:dyDescent="0.2">
      <c r="A31" s="4" t="s">
        <v>116</v>
      </c>
      <c r="B31" s="5">
        <v>46002</v>
      </c>
      <c r="C31" s="4" t="s">
        <v>37</v>
      </c>
      <c r="D31" s="4" t="s">
        <v>43</v>
      </c>
      <c r="E31" s="4" t="s">
        <v>15</v>
      </c>
      <c r="F31" s="4" t="s">
        <v>102</v>
      </c>
      <c r="G31" s="4" t="s">
        <v>103</v>
      </c>
      <c r="H31" s="4">
        <v>7</v>
      </c>
      <c r="I31" s="10">
        <v>24.5</v>
      </c>
      <c r="J31" s="4" t="s">
        <v>48</v>
      </c>
      <c r="K31" s="11">
        <f>tbl_Sales[[#This Row],[Units]] *tbl_Sales[[#This Row],[Unit Price]]</f>
        <v>171.5</v>
      </c>
      <c r="L31" s="4">
        <f>_xlfn.XLOOKUP(tbl_Sales[[#This Row],[Order ID]], [1]!Discount_tbl[Order ID], [1]!Discount_tbl[Discount %], 0)</f>
        <v>0</v>
      </c>
      <c r="M31" s="4">
        <f>tbl_Sales[[#This Row],[discount]]/100</f>
        <v>0</v>
      </c>
      <c r="N31" s="11">
        <f>(1-tbl_Sales[[#This Row],[Discount Percentage]]) * tbl_Sales[[#This Row],[Net Revenue]]</f>
        <v>171.5</v>
      </c>
    </row>
    <row r="32" spans="1:20" x14ac:dyDescent="0.2">
      <c r="A32" s="4" t="s">
        <v>117</v>
      </c>
      <c r="B32" s="5">
        <v>45981</v>
      </c>
      <c r="C32" s="4" t="s">
        <v>118</v>
      </c>
      <c r="D32" s="4" t="s">
        <v>43</v>
      </c>
      <c r="E32" s="4" t="s">
        <v>28</v>
      </c>
      <c r="F32" s="4" t="s">
        <v>119</v>
      </c>
      <c r="G32" s="4" t="s">
        <v>30</v>
      </c>
      <c r="H32" s="4">
        <v>33</v>
      </c>
      <c r="I32" s="10">
        <v>189</v>
      </c>
      <c r="J32" s="4" t="s">
        <v>25</v>
      </c>
      <c r="K32" s="11">
        <f>tbl_Sales[[#This Row],[Units]] *tbl_Sales[[#This Row],[Unit Price]]</f>
        <v>6237</v>
      </c>
      <c r="L32" s="4">
        <f>_xlfn.XLOOKUP(tbl_Sales[[#This Row],[Order ID]], [1]!Discount_tbl[Order ID], [1]!Discount_tbl[Discount %], 0)</f>
        <v>5</v>
      </c>
      <c r="M32" s="4">
        <f>tbl_Sales[[#This Row],[discount]]/100</f>
        <v>0.05</v>
      </c>
      <c r="N32" s="11">
        <f>(1-tbl_Sales[[#This Row],[Discount Percentage]]) * tbl_Sales[[#This Row],[Net Revenue]]</f>
        <v>5925.15</v>
      </c>
    </row>
    <row r="33" spans="1:14" x14ac:dyDescent="0.2">
      <c r="A33" s="4" t="s">
        <v>120</v>
      </c>
      <c r="B33" s="5">
        <v>45947</v>
      </c>
      <c r="C33" s="4" t="s">
        <v>121</v>
      </c>
      <c r="D33" s="4" t="s">
        <v>38</v>
      </c>
      <c r="E33" s="4" t="s">
        <v>343</v>
      </c>
      <c r="F33" s="4" t="s">
        <v>122</v>
      </c>
      <c r="G33" s="4" t="s">
        <v>69</v>
      </c>
      <c r="H33" s="4">
        <v>26</v>
      </c>
      <c r="I33" s="10">
        <v>12.25</v>
      </c>
      <c r="J33" s="4" t="s">
        <v>25</v>
      </c>
      <c r="K33" s="11">
        <f>tbl_Sales[[#This Row],[Units]] *tbl_Sales[[#This Row],[Unit Price]]</f>
        <v>318.5</v>
      </c>
      <c r="L33" s="4">
        <f>_xlfn.XLOOKUP(tbl_Sales[[#This Row],[Order ID]], [1]!Discount_tbl[Order ID], [1]!Discount_tbl[Discount %], 0)</f>
        <v>0</v>
      </c>
      <c r="M33" s="4">
        <f>tbl_Sales[[#This Row],[discount]]/100</f>
        <v>0</v>
      </c>
      <c r="N33" s="11">
        <f>(1-tbl_Sales[[#This Row],[Discount Percentage]]) * tbl_Sales[[#This Row],[Net Revenue]]</f>
        <v>318.5</v>
      </c>
    </row>
    <row r="34" spans="1:14" x14ac:dyDescent="0.2">
      <c r="A34" s="4" t="s">
        <v>124</v>
      </c>
      <c r="B34" s="5">
        <v>45940</v>
      </c>
      <c r="C34" s="4" t="s">
        <v>21</v>
      </c>
      <c r="D34" s="4" t="s">
        <v>60</v>
      </c>
      <c r="E34" s="4" t="s">
        <v>23</v>
      </c>
      <c r="F34" s="4" t="s">
        <v>119</v>
      </c>
      <c r="G34" s="4" t="s">
        <v>30</v>
      </c>
      <c r="H34" s="4">
        <v>30</v>
      </c>
      <c r="I34" s="10">
        <v>189</v>
      </c>
      <c r="J34" s="4" t="s">
        <v>35</v>
      </c>
      <c r="K34" s="11">
        <f>tbl_Sales[[#This Row],[Units]] *tbl_Sales[[#This Row],[Unit Price]]</f>
        <v>5670</v>
      </c>
      <c r="L34" s="4">
        <f>_xlfn.XLOOKUP(tbl_Sales[[#This Row],[Order ID]], [1]!Discount_tbl[Order ID], [1]!Discount_tbl[Discount %], 0)</f>
        <v>0</v>
      </c>
      <c r="M34" s="4">
        <f>tbl_Sales[[#This Row],[discount]]/100</f>
        <v>0</v>
      </c>
      <c r="N34" s="11">
        <f>(1-tbl_Sales[[#This Row],[Discount Percentage]]) * tbl_Sales[[#This Row],[Net Revenue]]</f>
        <v>5670</v>
      </c>
    </row>
    <row r="35" spans="1:14" x14ac:dyDescent="0.2">
      <c r="A35" s="4" t="s">
        <v>125</v>
      </c>
      <c r="B35" s="5">
        <v>45990</v>
      </c>
      <c r="C35" s="4" t="s">
        <v>113</v>
      </c>
      <c r="D35" s="4" t="s">
        <v>43</v>
      </c>
      <c r="E35" s="4" t="s">
        <v>23</v>
      </c>
      <c r="F35" s="4" t="s">
        <v>16</v>
      </c>
      <c r="G35" s="4" t="s">
        <v>17</v>
      </c>
      <c r="H35" s="4">
        <v>10</v>
      </c>
      <c r="I35" s="10">
        <v>94.75</v>
      </c>
      <c r="J35" s="4" t="s">
        <v>48</v>
      </c>
      <c r="K35" s="11">
        <f>tbl_Sales[[#This Row],[Units]] *tbl_Sales[[#This Row],[Unit Price]]</f>
        <v>947.5</v>
      </c>
      <c r="L35" s="4">
        <f>_xlfn.XLOOKUP(tbl_Sales[[#This Row],[Order ID]], [1]!Discount_tbl[Order ID], [1]!Discount_tbl[Discount %], 0)</f>
        <v>0</v>
      </c>
      <c r="M35" s="4">
        <f>tbl_Sales[[#This Row],[discount]]/100</f>
        <v>0</v>
      </c>
      <c r="N35" s="11">
        <f>(1-tbl_Sales[[#This Row],[Discount Percentage]]) * tbl_Sales[[#This Row],[Net Revenue]]</f>
        <v>947.5</v>
      </c>
    </row>
    <row r="36" spans="1:14" x14ac:dyDescent="0.2">
      <c r="A36" s="4" t="s">
        <v>126</v>
      </c>
      <c r="B36" s="5">
        <v>45979</v>
      </c>
      <c r="C36" s="4" t="s">
        <v>113</v>
      </c>
      <c r="D36" s="4" t="s">
        <v>60</v>
      </c>
      <c r="E36" s="4" t="s">
        <v>34</v>
      </c>
      <c r="F36" s="4" t="s">
        <v>51</v>
      </c>
      <c r="G36" s="4" t="s">
        <v>30</v>
      </c>
      <c r="H36" s="4">
        <v>10</v>
      </c>
      <c r="I36" s="10">
        <v>340</v>
      </c>
      <c r="J36" s="4" t="s">
        <v>25</v>
      </c>
      <c r="K36" s="11">
        <f>tbl_Sales[[#This Row],[Units]] *tbl_Sales[[#This Row],[Unit Price]]</f>
        <v>3400</v>
      </c>
      <c r="L36" s="4">
        <f>_xlfn.XLOOKUP(tbl_Sales[[#This Row],[Order ID]], [1]!Discount_tbl[Order ID], [1]!Discount_tbl[Discount %], 0)</f>
        <v>0</v>
      </c>
      <c r="M36" s="4">
        <f>tbl_Sales[[#This Row],[discount]]/100</f>
        <v>0</v>
      </c>
      <c r="N36" s="11">
        <f>(1-tbl_Sales[[#This Row],[Discount Percentage]]) * tbl_Sales[[#This Row],[Net Revenue]]</f>
        <v>3400</v>
      </c>
    </row>
    <row r="37" spans="1:14" x14ac:dyDescent="0.2">
      <c r="A37" s="4" t="s">
        <v>129</v>
      </c>
      <c r="B37" s="5">
        <v>45962</v>
      </c>
      <c r="C37" s="4" t="s">
        <v>13</v>
      </c>
      <c r="D37" s="4" t="s">
        <v>60</v>
      </c>
      <c r="E37" s="4" t="s">
        <v>63</v>
      </c>
      <c r="F37" s="4" t="s">
        <v>68</v>
      </c>
      <c r="G37" s="4" t="s">
        <v>69</v>
      </c>
      <c r="H37" s="4">
        <v>28</v>
      </c>
      <c r="I37" s="10">
        <v>18.399999999999999</v>
      </c>
      <c r="J37" s="4" t="s">
        <v>35</v>
      </c>
      <c r="K37" s="11">
        <f>tbl_Sales[[#This Row],[Units]] *tbl_Sales[[#This Row],[Unit Price]]</f>
        <v>515.19999999999993</v>
      </c>
      <c r="L37" s="4">
        <f>_xlfn.XLOOKUP(tbl_Sales[[#This Row],[Order ID]], [1]!Discount_tbl[Order ID], [1]!Discount_tbl[Discount %], 0)</f>
        <v>0</v>
      </c>
      <c r="M37" s="4">
        <f>tbl_Sales[[#This Row],[discount]]/100</f>
        <v>0</v>
      </c>
      <c r="N37" s="11">
        <f>(1-tbl_Sales[[#This Row],[Discount Percentage]]) * tbl_Sales[[#This Row],[Net Revenue]]</f>
        <v>515.19999999999993</v>
      </c>
    </row>
    <row r="38" spans="1:14" x14ac:dyDescent="0.2">
      <c r="A38" s="4" t="s">
        <v>131</v>
      </c>
      <c r="B38" s="5">
        <v>45960</v>
      </c>
      <c r="C38" s="4" t="s">
        <v>46</v>
      </c>
      <c r="D38" s="4" t="s">
        <v>33</v>
      </c>
      <c r="E38" s="4" t="s">
        <v>23</v>
      </c>
      <c r="F38" s="4" t="s">
        <v>119</v>
      </c>
      <c r="G38" s="4" t="s">
        <v>30</v>
      </c>
      <c r="H38" s="4">
        <v>26</v>
      </c>
      <c r="I38" s="10">
        <v>189</v>
      </c>
      <c r="J38" s="4" t="s">
        <v>35</v>
      </c>
      <c r="K38" s="11">
        <f>tbl_Sales[[#This Row],[Units]] *tbl_Sales[[#This Row],[Unit Price]]</f>
        <v>4914</v>
      </c>
      <c r="L38" s="4">
        <f>_xlfn.XLOOKUP(tbl_Sales[[#This Row],[Order ID]], [1]!Discount_tbl[Order ID], [1]!Discount_tbl[Discount %], 0)</f>
        <v>0</v>
      </c>
      <c r="M38" s="4">
        <f>tbl_Sales[[#This Row],[discount]]/100</f>
        <v>0</v>
      </c>
      <c r="N38" s="11">
        <f>(1-tbl_Sales[[#This Row],[Discount Percentage]]) * tbl_Sales[[#This Row],[Net Revenue]]</f>
        <v>4914</v>
      </c>
    </row>
    <row r="39" spans="1:14" x14ac:dyDescent="0.2">
      <c r="A39" s="4" t="s">
        <v>132</v>
      </c>
      <c r="B39" s="5">
        <v>46014</v>
      </c>
      <c r="C39" s="4" t="s">
        <v>113</v>
      </c>
      <c r="D39" s="4" t="s">
        <v>38</v>
      </c>
      <c r="E39" s="4" t="s">
        <v>23</v>
      </c>
      <c r="F39" s="4" t="s">
        <v>29</v>
      </c>
      <c r="G39" s="4" t="s">
        <v>30</v>
      </c>
      <c r="H39" s="4">
        <v>20</v>
      </c>
      <c r="I39" s="10">
        <v>76.5</v>
      </c>
      <c r="J39" s="4" t="s">
        <v>48</v>
      </c>
      <c r="K39" s="11">
        <f>tbl_Sales[[#This Row],[Units]] *tbl_Sales[[#This Row],[Unit Price]]</f>
        <v>1530</v>
      </c>
      <c r="L39" s="4">
        <f>_xlfn.XLOOKUP(tbl_Sales[[#This Row],[Order ID]], [1]!Discount_tbl[Order ID], [1]!Discount_tbl[Discount %], 0)</f>
        <v>22.5</v>
      </c>
      <c r="M39" s="4">
        <f>tbl_Sales[[#This Row],[discount]]/100</f>
        <v>0.22500000000000001</v>
      </c>
      <c r="N39" s="11">
        <f>(1-tbl_Sales[[#This Row],[Discount Percentage]]) * tbl_Sales[[#This Row],[Net Revenue]]</f>
        <v>1185.75</v>
      </c>
    </row>
    <row r="40" spans="1:14" x14ac:dyDescent="0.2">
      <c r="A40" s="4" t="s">
        <v>135</v>
      </c>
      <c r="B40" s="5">
        <v>45953</v>
      </c>
      <c r="C40" s="4" t="s">
        <v>109</v>
      </c>
      <c r="D40" s="4" t="s">
        <v>38</v>
      </c>
      <c r="E40" s="4" t="s">
        <v>15</v>
      </c>
      <c r="F40" s="4" t="s">
        <v>122</v>
      </c>
      <c r="G40" s="4" t="s">
        <v>69</v>
      </c>
      <c r="H40" s="4">
        <v>39</v>
      </c>
      <c r="I40" s="10">
        <v>12.25</v>
      </c>
      <c r="J40" s="4" t="s">
        <v>19</v>
      </c>
      <c r="K40" s="11">
        <f>tbl_Sales[[#This Row],[Units]] *tbl_Sales[[#This Row],[Unit Price]]</f>
        <v>477.75</v>
      </c>
      <c r="L40" s="4">
        <f>_xlfn.XLOOKUP(tbl_Sales[[#This Row],[Order ID]], [1]!Discount_tbl[Order ID], [1]!Discount_tbl[Discount %], 0)</f>
        <v>0</v>
      </c>
      <c r="M40" s="4">
        <f>tbl_Sales[[#This Row],[discount]]/100</f>
        <v>0</v>
      </c>
      <c r="N40" s="11">
        <f>(1-tbl_Sales[[#This Row],[Discount Percentage]]) * tbl_Sales[[#This Row],[Net Revenue]]</f>
        <v>477.75</v>
      </c>
    </row>
    <row r="41" spans="1:14" x14ac:dyDescent="0.2">
      <c r="A41" s="4" t="s">
        <v>137</v>
      </c>
      <c r="B41" s="5">
        <v>45934</v>
      </c>
      <c r="C41" s="4" t="s">
        <v>13</v>
      </c>
      <c r="D41" s="4" t="s">
        <v>33</v>
      </c>
      <c r="E41" s="4" t="s">
        <v>63</v>
      </c>
      <c r="F41" s="4" t="s">
        <v>102</v>
      </c>
      <c r="G41" s="4" t="s">
        <v>103</v>
      </c>
      <c r="H41" s="4">
        <v>25</v>
      </c>
      <c r="I41" s="10">
        <v>24.5</v>
      </c>
      <c r="J41" s="4" t="s">
        <v>82</v>
      </c>
      <c r="K41" s="11">
        <f>tbl_Sales[[#This Row],[Units]] *tbl_Sales[[#This Row],[Unit Price]]</f>
        <v>612.5</v>
      </c>
      <c r="L41" s="4">
        <f>_xlfn.XLOOKUP(tbl_Sales[[#This Row],[Order ID]], [1]!Discount_tbl[Order ID], [1]!Discount_tbl[Discount %], 0)</f>
        <v>0</v>
      </c>
      <c r="M41" s="4">
        <f>tbl_Sales[[#This Row],[discount]]/100</f>
        <v>0</v>
      </c>
      <c r="N41" s="11">
        <f>(1-tbl_Sales[[#This Row],[Discount Percentage]]) * tbl_Sales[[#This Row],[Net Revenue]]</f>
        <v>612.5</v>
      </c>
    </row>
    <row r="42" spans="1:14" x14ac:dyDescent="0.2">
      <c r="A42" s="4" t="s">
        <v>140</v>
      </c>
      <c r="B42" s="5">
        <v>45968</v>
      </c>
      <c r="C42" s="4" t="s">
        <v>21</v>
      </c>
      <c r="D42" s="4" t="s">
        <v>33</v>
      </c>
      <c r="E42" s="4" t="s">
        <v>343</v>
      </c>
      <c r="F42" s="4" t="s">
        <v>122</v>
      </c>
      <c r="G42" s="4" t="s">
        <v>69</v>
      </c>
      <c r="H42" s="4">
        <v>5</v>
      </c>
      <c r="I42" s="10">
        <v>12.25</v>
      </c>
      <c r="J42" s="4" t="s">
        <v>82</v>
      </c>
      <c r="K42" s="11">
        <f>tbl_Sales[[#This Row],[Units]] *tbl_Sales[[#This Row],[Unit Price]]</f>
        <v>61.25</v>
      </c>
      <c r="L42" s="4">
        <f>_xlfn.XLOOKUP(tbl_Sales[[#This Row],[Order ID]], [1]!Discount_tbl[Order ID], [1]!Discount_tbl[Discount %], 0)</f>
        <v>0</v>
      </c>
      <c r="M42" s="4">
        <f>tbl_Sales[[#This Row],[discount]]/100</f>
        <v>0</v>
      </c>
      <c r="N42" s="11">
        <f>(1-tbl_Sales[[#This Row],[Discount Percentage]]) * tbl_Sales[[#This Row],[Net Revenue]]</f>
        <v>61.25</v>
      </c>
    </row>
    <row r="43" spans="1:14" x14ac:dyDescent="0.2">
      <c r="A43" s="4" t="s">
        <v>142</v>
      </c>
      <c r="B43" s="5">
        <v>46021</v>
      </c>
      <c r="C43" s="4" t="s">
        <v>109</v>
      </c>
      <c r="D43" s="4" t="s">
        <v>43</v>
      </c>
      <c r="E43" s="4" t="s">
        <v>63</v>
      </c>
      <c r="F43" s="4" t="s">
        <v>122</v>
      </c>
      <c r="G43" s="4" t="s">
        <v>69</v>
      </c>
      <c r="H43" s="4">
        <v>2</v>
      </c>
      <c r="I43" s="10">
        <v>12.25</v>
      </c>
      <c r="J43" s="4" t="s">
        <v>35</v>
      </c>
      <c r="K43" s="11">
        <f>tbl_Sales[[#This Row],[Units]] *tbl_Sales[[#This Row],[Unit Price]]</f>
        <v>24.5</v>
      </c>
      <c r="L43" s="4">
        <f>_xlfn.XLOOKUP(tbl_Sales[[#This Row],[Order ID]], [1]!Discount_tbl[Order ID], [1]!Discount_tbl[Discount %], 0)</f>
        <v>0</v>
      </c>
      <c r="M43" s="4">
        <f>tbl_Sales[[#This Row],[discount]]/100</f>
        <v>0</v>
      </c>
      <c r="N43" s="11">
        <f>(1-tbl_Sales[[#This Row],[Discount Percentage]]) * tbl_Sales[[#This Row],[Net Revenue]]</f>
        <v>24.5</v>
      </c>
    </row>
    <row r="44" spans="1:14" x14ac:dyDescent="0.2">
      <c r="A44" s="4" t="s">
        <v>144</v>
      </c>
      <c r="B44" s="5">
        <v>45942</v>
      </c>
      <c r="C44" s="4" t="s">
        <v>95</v>
      </c>
      <c r="D44" s="4" t="s">
        <v>60</v>
      </c>
      <c r="E44" s="4" t="s">
        <v>63</v>
      </c>
      <c r="F44" s="4" t="s">
        <v>102</v>
      </c>
      <c r="G44" s="4" t="s">
        <v>103</v>
      </c>
      <c r="H44" s="4">
        <v>34</v>
      </c>
      <c r="I44" s="10">
        <v>24.5</v>
      </c>
      <c r="J44" s="4" t="s">
        <v>25</v>
      </c>
      <c r="K44" s="11">
        <f>tbl_Sales[[#This Row],[Units]] *tbl_Sales[[#This Row],[Unit Price]]</f>
        <v>833</v>
      </c>
      <c r="L44" s="4">
        <f>_xlfn.XLOOKUP(tbl_Sales[[#This Row],[Order ID]], [1]!Discount_tbl[Order ID], [1]!Discount_tbl[Discount %], 0)</f>
        <v>0</v>
      </c>
      <c r="M44" s="4">
        <f>tbl_Sales[[#This Row],[discount]]/100</f>
        <v>0</v>
      </c>
      <c r="N44" s="11">
        <f>(1-tbl_Sales[[#This Row],[Discount Percentage]]) * tbl_Sales[[#This Row],[Net Revenue]]</f>
        <v>833</v>
      </c>
    </row>
    <row r="45" spans="1:14" x14ac:dyDescent="0.2">
      <c r="A45" s="4" t="s">
        <v>146</v>
      </c>
      <c r="B45" s="5">
        <v>45946</v>
      </c>
      <c r="C45" s="4" t="s">
        <v>75</v>
      </c>
      <c r="D45" s="4" t="s">
        <v>43</v>
      </c>
      <c r="E45" s="4" t="s">
        <v>23</v>
      </c>
      <c r="F45" s="4" t="s">
        <v>16</v>
      </c>
      <c r="G45" s="4" t="s">
        <v>17</v>
      </c>
      <c r="H45" s="4">
        <v>37</v>
      </c>
      <c r="I45" s="10">
        <v>94.75</v>
      </c>
      <c r="J45" s="4" t="s">
        <v>48</v>
      </c>
      <c r="K45" s="11">
        <f>tbl_Sales[[#This Row],[Units]] *tbl_Sales[[#This Row],[Unit Price]]</f>
        <v>3505.75</v>
      </c>
      <c r="L45" s="4">
        <f>_xlfn.XLOOKUP(tbl_Sales[[#This Row],[Order ID]], [1]!Discount_tbl[Order ID], [1]!Discount_tbl[Discount %], 0)</f>
        <v>0</v>
      </c>
      <c r="M45" s="4">
        <f>tbl_Sales[[#This Row],[discount]]/100</f>
        <v>0</v>
      </c>
      <c r="N45" s="11">
        <f>(1-tbl_Sales[[#This Row],[Discount Percentage]]) * tbl_Sales[[#This Row],[Net Revenue]]</f>
        <v>3505.75</v>
      </c>
    </row>
    <row r="46" spans="1:14" x14ac:dyDescent="0.2">
      <c r="A46" s="4" t="s">
        <v>147</v>
      </c>
      <c r="B46" s="5">
        <v>46013</v>
      </c>
      <c r="C46" s="4" t="s">
        <v>148</v>
      </c>
      <c r="D46" s="4" t="s">
        <v>60</v>
      </c>
      <c r="E46" s="4" t="s">
        <v>34</v>
      </c>
      <c r="F46" s="4" t="s">
        <v>47</v>
      </c>
      <c r="G46" s="4" t="s">
        <v>40</v>
      </c>
      <c r="H46" s="4">
        <v>32</v>
      </c>
      <c r="I46" s="10">
        <v>21.99</v>
      </c>
      <c r="J46" s="4" t="s">
        <v>35</v>
      </c>
      <c r="K46" s="11">
        <f>tbl_Sales[[#This Row],[Units]] *tbl_Sales[[#This Row],[Unit Price]]</f>
        <v>703.68</v>
      </c>
      <c r="L46" s="4">
        <f>_xlfn.XLOOKUP(tbl_Sales[[#This Row],[Order ID]], [1]!Discount_tbl[Order ID], [1]!Discount_tbl[Discount %], 0)</f>
        <v>0</v>
      </c>
      <c r="M46" s="4">
        <f>tbl_Sales[[#This Row],[discount]]/100</f>
        <v>0</v>
      </c>
      <c r="N46" s="11">
        <f>(1-tbl_Sales[[#This Row],[Discount Percentage]]) * tbl_Sales[[#This Row],[Net Revenue]]</f>
        <v>703.68</v>
      </c>
    </row>
    <row r="47" spans="1:14" x14ac:dyDescent="0.2">
      <c r="A47" s="4" t="s">
        <v>150</v>
      </c>
      <c r="B47" s="5">
        <v>46008</v>
      </c>
      <c r="C47" s="4" t="s">
        <v>54</v>
      </c>
      <c r="D47" s="4" t="s">
        <v>33</v>
      </c>
      <c r="E47" s="4" t="s">
        <v>343</v>
      </c>
      <c r="F47" s="4" t="s">
        <v>102</v>
      </c>
      <c r="G47" s="4" t="s">
        <v>103</v>
      </c>
      <c r="H47" s="4">
        <v>27</v>
      </c>
      <c r="I47" s="10">
        <v>24.5</v>
      </c>
      <c r="J47" s="4" t="s">
        <v>35</v>
      </c>
      <c r="K47" s="11">
        <f>tbl_Sales[[#This Row],[Units]] *tbl_Sales[[#This Row],[Unit Price]]</f>
        <v>661.5</v>
      </c>
      <c r="L47" s="4">
        <f>_xlfn.XLOOKUP(tbl_Sales[[#This Row],[Order ID]], [1]!Discount_tbl[Order ID], [1]!Discount_tbl[Discount %], 0)</f>
        <v>0</v>
      </c>
      <c r="M47" s="4">
        <f>tbl_Sales[[#This Row],[discount]]/100</f>
        <v>0</v>
      </c>
      <c r="N47" s="11">
        <f>(1-tbl_Sales[[#This Row],[Discount Percentage]]) * tbl_Sales[[#This Row],[Net Revenue]]</f>
        <v>661.5</v>
      </c>
    </row>
    <row r="48" spans="1:14" x14ac:dyDescent="0.2">
      <c r="A48" s="4" t="s">
        <v>152</v>
      </c>
      <c r="B48" s="5">
        <v>45960</v>
      </c>
      <c r="C48" s="4" t="s">
        <v>46</v>
      </c>
      <c r="D48" s="4" t="s">
        <v>38</v>
      </c>
      <c r="E48" s="4" t="s">
        <v>23</v>
      </c>
      <c r="F48" s="4" t="s">
        <v>119</v>
      </c>
      <c r="G48" s="4" t="s">
        <v>30</v>
      </c>
      <c r="H48" s="4">
        <v>15</v>
      </c>
      <c r="I48" s="10">
        <v>189</v>
      </c>
      <c r="J48" s="4" t="s">
        <v>82</v>
      </c>
      <c r="K48" s="11">
        <f>tbl_Sales[[#This Row],[Units]] *tbl_Sales[[#This Row],[Unit Price]]</f>
        <v>2835</v>
      </c>
      <c r="L48" s="4">
        <f>_xlfn.XLOOKUP(tbl_Sales[[#This Row],[Order ID]], [1]!Discount_tbl[Order ID], [1]!Discount_tbl[Discount %], 0)</f>
        <v>17.5</v>
      </c>
      <c r="M48" s="4">
        <f>tbl_Sales[[#This Row],[discount]]/100</f>
        <v>0.17499999999999999</v>
      </c>
      <c r="N48" s="11">
        <f>(1-tbl_Sales[[#This Row],[Discount Percentage]]) * tbl_Sales[[#This Row],[Net Revenue]]</f>
        <v>2338.875</v>
      </c>
    </row>
    <row r="49" spans="1:14" x14ac:dyDescent="0.2">
      <c r="A49" s="4" t="s">
        <v>155</v>
      </c>
      <c r="B49" s="5">
        <v>45972</v>
      </c>
      <c r="C49" s="4" t="s">
        <v>32</v>
      </c>
      <c r="D49" s="4" t="s">
        <v>33</v>
      </c>
      <c r="E49" s="4" t="s">
        <v>28</v>
      </c>
      <c r="F49" s="4" t="s">
        <v>29</v>
      </c>
      <c r="G49" s="4" t="s">
        <v>30</v>
      </c>
      <c r="H49" s="4">
        <v>30</v>
      </c>
      <c r="I49" s="10">
        <v>76.5</v>
      </c>
      <c r="J49" s="4" t="s">
        <v>48</v>
      </c>
      <c r="K49" s="11">
        <f>tbl_Sales[[#This Row],[Units]] *tbl_Sales[[#This Row],[Unit Price]]</f>
        <v>2295</v>
      </c>
      <c r="L49" s="4">
        <f>_xlfn.XLOOKUP(tbl_Sales[[#This Row],[Order ID]], [1]!Discount_tbl[Order ID], [1]!Discount_tbl[Discount %], 0)</f>
        <v>0</v>
      </c>
      <c r="M49" s="4">
        <f>tbl_Sales[[#This Row],[discount]]/100</f>
        <v>0</v>
      </c>
      <c r="N49" s="11">
        <f>(1-tbl_Sales[[#This Row],[Discount Percentage]]) * tbl_Sales[[#This Row],[Net Revenue]]</f>
        <v>2295</v>
      </c>
    </row>
    <row r="50" spans="1:14" x14ac:dyDescent="0.2">
      <c r="A50" s="4" t="s">
        <v>156</v>
      </c>
      <c r="B50" s="5">
        <v>46010</v>
      </c>
      <c r="C50" s="4" t="s">
        <v>75</v>
      </c>
      <c r="D50" s="4" t="s">
        <v>38</v>
      </c>
      <c r="E50" s="4" t="s">
        <v>23</v>
      </c>
      <c r="F50" s="4" t="s">
        <v>122</v>
      </c>
      <c r="G50" s="4" t="s">
        <v>69</v>
      </c>
      <c r="H50" s="4">
        <v>38</v>
      </c>
      <c r="I50" s="10">
        <v>12.25</v>
      </c>
      <c r="J50" s="4" t="s">
        <v>48</v>
      </c>
      <c r="K50" s="11">
        <f>tbl_Sales[[#This Row],[Units]] *tbl_Sales[[#This Row],[Unit Price]]</f>
        <v>465.5</v>
      </c>
      <c r="L50" s="4">
        <f>_xlfn.XLOOKUP(tbl_Sales[[#This Row],[Order ID]], [1]!Discount_tbl[Order ID], [1]!Discount_tbl[Discount %], 0)</f>
        <v>10</v>
      </c>
      <c r="M50" s="4">
        <f>tbl_Sales[[#This Row],[discount]]/100</f>
        <v>0.1</v>
      </c>
      <c r="N50" s="11">
        <f>(1-tbl_Sales[[#This Row],[Discount Percentage]]) * tbl_Sales[[#This Row],[Net Revenue]]</f>
        <v>418.95</v>
      </c>
    </row>
    <row r="51" spans="1:14" x14ac:dyDescent="0.2">
      <c r="A51" s="4" t="s">
        <v>159</v>
      </c>
      <c r="B51" s="5">
        <v>45958</v>
      </c>
      <c r="C51" s="4" t="s">
        <v>160</v>
      </c>
      <c r="D51" s="4" t="s">
        <v>60</v>
      </c>
      <c r="E51" s="4" t="s">
        <v>28</v>
      </c>
      <c r="F51" s="4" t="s">
        <v>68</v>
      </c>
      <c r="G51" s="4" t="s">
        <v>69</v>
      </c>
      <c r="H51" s="4">
        <v>38</v>
      </c>
      <c r="I51" s="10">
        <v>18.399999999999999</v>
      </c>
      <c r="J51" s="4" t="s">
        <v>35</v>
      </c>
      <c r="K51" s="11">
        <f>tbl_Sales[[#This Row],[Units]] *tbl_Sales[[#This Row],[Unit Price]]</f>
        <v>699.19999999999993</v>
      </c>
      <c r="L51" s="4">
        <f>_xlfn.XLOOKUP(tbl_Sales[[#This Row],[Order ID]], [1]!Discount_tbl[Order ID], [1]!Discount_tbl[Discount %], 0)</f>
        <v>0</v>
      </c>
      <c r="M51" s="4">
        <f>tbl_Sales[[#This Row],[discount]]/100</f>
        <v>0</v>
      </c>
      <c r="N51" s="11">
        <f>(1-tbl_Sales[[#This Row],[Discount Percentage]]) * tbl_Sales[[#This Row],[Net Revenue]]</f>
        <v>699.19999999999993</v>
      </c>
    </row>
    <row r="52" spans="1:14" x14ac:dyDescent="0.2">
      <c r="A52" s="4" t="s">
        <v>161</v>
      </c>
      <c r="B52" s="5">
        <v>45990</v>
      </c>
      <c r="C52" s="4" t="s">
        <v>42</v>
      </c>
      <c r="D52" s="4" t="s">
        <v>43</v>
      </c>
      <c r="E52" s="4" t="s">
        <v>28</v>
      </c>
      <c r="F52" s="4" t="s">
        <v>119</v>
      </c>
      <c r="G52" s="4" t="s">
        <v>30</v>
      </c>
      <c r="H52" s="4">
        <v>31</v>
      </c>
      <c r="I52" s="10">
        <v>189</v>
      </c>
      <c r="J52" s="4" t="s">
        <v>19</v>
      </c>
      <c r="K52" s="11">
        <f>tbl_Sales[[#This Row],[Units]] *tbl_Sales[[#This Row],[Unit Price]]</f>
        <v>5859</v>
      </c>
      <c r="L52" s="4">
        <f>_xlfn.XLOOKUP(tbl_Sales[[#This Row],[Order ID]], [1]!Discount_tbl[Order ID], [1]!Discount_tbl[Discount %], 0)</f>
        <v>0</v>
      </c>
      <c r="M52" s="4">
        <f>tbl_Sales[[#This Row],[discount]]/100</f>
        <v>0</v>
      </c>
      <c r="N52" s="11">
        <f>(1-tbl_Sales[[#This Row],[Discount Percentage]]) * tbl_Sales[[#This Row],[Net Revenue]]</f>
        <v>5859</v>
      </c>
    </row>
    <row r="53" spans="1:14" x14ac:dyDescent="0.2">
      <c r="A53" s="4" t="s">
        <v>163</v>
      </c>
      <c r="B53" s="5">
        <v>46002</v>
      </c>
      <c r="C53" s="4" t="s">
        <v>164</v>
      </c>
      <c r="D53" s="4" t="s">
        <v>43</v>
      </c>
      <c r="E53" s="4" t="s">
        <v>63</v>
      </c>
      <c r="F53" s="4" t="s">
        <v>68</v>
      </c>
      <c r="G53" s="4" t="s">
        <v>69</v>
      </c>
      <c r="H53" s="4">
        <v>26</v>
      </c>
      <c r="I53" s="10">
        <v>18.399999999999999</v>
      </c>
      <c r="J53" s="4" t="s">
        <v>82</v>
      </c>
      <c r="K53" s="11">
        <f>tbl_Sales[[#This Row],[Units]] *tbl_Sales[[#This Row],[Unit Price]]</f>
        <v>478.4</v>
      </c>
      <c r="L53" s="4">
        <f>_xlfn.XLOOKUP(tbl_Sales[[#This Row],[Order ID]], [1]!Discount_tbl[Order ID], [1]!Discount_tbl[Discount %], 0)</f>
        <v>0</v>
      </c>
      <c r="M53" s="4">
        <f>tbl_Sales[[#This Row],[discount]]/100</f>
        <v>0</v>
      </c>
      <c r="N53" s="11">
        <f>(1-tbl_Sales[[#This Row],[Discount Percentage]]) * tbl_Sales[[#This Row],[Net Revenue]]</f>
        <v>478.4</v>
      </c>
    </row>
    <row r="54" spans="1:14" x14ac:dyDescent="0.2">
      <c r="A54" s="4" t="s">
        <v>165</v>
      </c>
      <c r="B54" s="5">
        <v>45933</v>
      </c>
      <c r="C54" s="4" t="s">
        <v>21</v>
      </c>
      <c r="D54" s="4" t="s">
        <v>60</v>
      </c>
      <c r="E54" s="4" t="s">
        <v>343</v>
      </c>
      <c r="F54" s="4" t="s">
        <v>122</v>
      </c>
      <c r="G54" s="4" t="s">
        <v>69</v>
      </c>
      <c r="H54" s="4">
        <v>14</v>
      </c>
      <c r="I54" s="10">
        <v>12.25</v>
      </c>
      <c r="J54" s="4" t="s">
        <v>82</v>
      </c>
      <c r="K54" s="11">
        <f>tbl_Sales[[#This Row],[Units]] *tbl_Sales[[#This Row],[Unit Price]]</f>
        <v>171.5</v>
      </c>
      <c r="L54" s="4">
        <f>_xlfn.XLOOKUP(tbl_Sales[[#This Row],[Order ID]], [1]!Discount_tbl[Order ID], [1]!Discount_tbl[Discount %], 0)</f>
        <v>0</v>
      </c>
      <c r="M54" s="4">
        <f>tbl_Sales[[#This Row],[discount]]/100</f>
        <v>0</v>
      </c>
      <c r="N54" s="11">
        <f>(1-tbl_Sales[[#This Row],[Discount Percentage]]) * tbl_Sales[[#This Row],[Net Revenue]]</f>
        <v>171.5</v>
      </c>
    </row>
    <row r="55" spans="1:14" x14ac:dyDescent="0.2">
      <c r="A55" s="4" t="s">
        <v>166</v>
      </c>
      <c r="B55" s="5">
        <v>46008</v>
      </c>
      <c r="C55" s="4" t="s">
        <v>37</v>
      </c>
      <c r="D55" s="4" t="s">
        <v>60</v>
      </c>
      <c r="E55" s="4" t="s">
        <v>34</v>
      </c>
      <c r="F55" s="4" t="s">
        <v>68</v>
      </c>
      <c r="G55" s="4" t="s">
        <v>69</v>
      </c>
      <c r="H55" s="4">
        <v>31</v>
      </c>
      <c r="I55" s="10">
        <v>18.399999999999999</v>
      </c>
      <c r="J55" s="4" t="s">
        <v>19</v>
      </c>
      <c r="K55" s="11">
        <f>tbl_Sales[[#This Row],[Units]] *tbl_Sales[[#This Row],[Unit Price]]</f>
        <v>570.4</v>
      </c>
      <c r="L55" s="4">
        <f>_xlfn.XLOOKUP(tbl_Sales[[#This Row],[Order ID]], [1]!Discount_tbl[Order ID], [1]!Discount_tbl[Discount %], 0)</f>
        <v>0</v>
      </c>
      <c r="M55" s="4">
        <f>tbl_Sales[[#This Row],[discount]]/100</f>
        <v>0</v>
      </c>
      <c r="N55" s="11">
        <f>(1-tbl_Sales[[#This Row],[Discount Percentage]]) * tbl_Sales[[#This Row],[Net Revenue]]</f>
        <v>570.4</v>
      </c>
    </row>
    <row r="56" spans="1:14" x14ac:dyDescent="0.2">
      <c r="A56" s="4" t="s">
        <v>168</v>
      </c>
      <c r="B56" s="5">
        <v>45985</v>
      </c>
      <c r="C56" s="4" t="s">
        <v>164</v>
      </c>
      <c r="D56" s="4" t="s">
        <v>38</v>
      </c>
      <c r="E56" s="4" t="s">
        <v>34</v>
      </c>
      <c r="F56" s="4" t="s">
        <v>47</v>
      </c>
      <c r="G56" s="4" t="s">
        <v>40</v>
      </c>
      <c r="H56" s="4">
        <v>14</v>
      </c>
      <c r="I56" s="10">
        <v>21.99</v>
      </c>
      <c r="J56" s="4" t="s">
        <v>82</v>
      </c>
      <c r="K56" s="11">
        <f>tbl_Sales[[#This Row],[Units]] *tbl_Sales[[#This Row],[Unit Price]]</f>
        <v>307.85999999999996</v>
      </c>
      <c r="L56" s="4">
        <f>_xlfn.XLOOKUP(tbl_Sales[[#This Row],[Order ID]], [1]!Discount_tbl[Order ID], [1]!Discount_tbl[Discount %], 0)</f>
        <v>17.5</v>
      </c>
      <c r="M56" s="4">
        <f>tbl_Sales[[#This Row],[discount]]/100</f>
        <v>0.17499999999999999</v>
      </c>
      <c r="N56" s="11">
        <f>(1-tbl_Sales[[#This Row],[Discount Percentage]]) * tbl_Sales[[#This Row],[Net Revenue]]</f>
        <v>253.98449999999994</v>
      </c>
    </row>
    <row r="57" spans="1:14" x14ac:dyDescent="0.2">
      <c r="A57" s="4" t="s">
        <v>170</v>
      </c>
      <c r="B57" s="5">
        <v>45941</v>
      </c>
      <c r="C57" s="4" t="s">
        <v>42</v>
      </c>
      <c r="D57" s="4" t="s">
        <v>38</v>
      </c>
      <c r="E57" s="4" t="s">
        <v>63</v>
      </c>
      <c r="F57" s="4" t="s">
        <v>119</v>
      </c>
      <c r="G57" s="4" t="s">
        <v>30</v>
      </c>
      <c r="H57" s="4">
        <v>22</v>
      </c>
      <c r="I57" s="10">
        <v>189</v>
      </c>
      <c r="J57" s="4" t="s">
        <v>35</v>
      </c>
      <c r="K57" s="11">
        <f>tbl_Sales[[#This Row],[Units]] *tbl_Sales[[#This Row],[Unit Price]]</f>
        <v>4158</v>
      </c>
      <c r="L57" s="4">
        <f>_xlfn.XLOOKUP(tbl_Sales[[#This Row],[Order ID]], [1]!Discount_tbl[Order ID], [1]!Discount_tbl[Discount %], 0)</f>
        <v>25</v>
      </c>
      <c r="M57" s="4">
        <f>tbl_Sales[[#This Row],[discount]]/100</f>
        <v>0.25</v>
      </c>
      <c r="N57" s="11">
        <f>(1-tbl_Sales[[#This Row],[Discount Percentage]]) * tbl_Sales[[#This Row],[Net Revenue]]</f>
        <v>3118.5</v>
      </c>
    </row>
    <row r="58" spans="1:14" x14ac:dyDescent="0.2">
      <c r="A58" s="4" t="s">
        <v>172</v>
      </c>
      <c r="B58" s="5">
        <v>45989</v>
      </c>
      <c r="C58" s="4" t="s">
        <v>13</v>
      </c>
      <c r="D58" s="4" t="s">
        <v>60</v>
      </c>
      <c r="E58" s="4" t="s">
        <v>28</v>
      </c>
      <c r="F58" s="4" t="s">
        <v>102</v>
      </c>
      <c r="G58" s="4" t="s">
        <v>103</v>
      </c>
      <c r="H58" s="4">
        <v>4</v>
      </c>
      <c r="I58" s="10">
        <v>24.5</v>
      </c>
      <c r="J58" s="4" t="s">
        <v>19</v>
      </c>
      <c r="K58" s="11">
        <f>tbl_Sales[[#This Row],[Units]] *tbl_Sales[[#This Row],[Unit Price]]</f>
        <v>98</v>
      </c>
      <c r="L58" s="4">
        <f>_xlfn.XLOOKUP(tbl_Sales[[#This Row],[Order ID]], [1]!Discount_tbl[Order ID], [1]!Discount_tbl[Discount %], 0)</f>
        <v>0</v>
      </c>
      <c r="M58" s="4">
        <f>tbl_Sales[[#This Row],[discount]]/100</f>
        <v>0</v>
      </c>
      <c r="N58" s="11">
        <f>(1-tbl_Sales[[#This Row],[Discount Percentage]]) * tbl_Sales[[#This Row],[Net Revenue]]</f>
        <v>98</v>
      </c>
    </row>
    <row r="59" spans="1:14" x14ac:dyDescent="0.2">
      <c r="A59" s="4" t="s">
        <v>174</v>
      </c>
      <c r="B59" s="5">
        <v>45982</v>
      </c>
      <c r="C59" s="4" t="s">
        <v>95</v>
      </c>
      <c r="D59" s="4" t="s">
        <v>38</v>
      </c>
      <c r="E59" s="4" t="s">
        <v>28</v>
      </c>
      <c r="F59" s="4" t="s">
        <v>51</v>
      </c>
      <c r="G59" s="4" t="s">
        <v>30</v>
      </c>
      <c r="H59" s="4">
        <v>20</v>
      </c>
      <c r="I59" s="10">
        <v>340</v>
      </c>
      <c r="J59" s="4" t="s">
        <v>48</v>
      </c>
      <c r="K59" s="11">
        <f>tbl_Sales[[#This Row],[Units]] *tbl_Sales[[#This Row],[Unit Price]]</f>
        <v>6800</v>
      </c>
      <c r="L59" s="4">
        <f>_xlfn.XLOOKUP(tbl_Sales[[#This Row],[Order ID]], [1]!Discount_tbl[Order ID], [1]!Discount_tbl[Discount %], 0)</f>
        <v>15</v>
      </c>
      <c r="M59" s="4">
        <f>tbl_Sales[[#This Row],[discount]]/100</f>
        <v>0.15</v>
      </c>
      <c r="N59" s="11">
        <f>(1-tbl_Sales[[#This Row],[Discount Percentage]]) * tbl_Sales[[#This Row],[Net Revenue]]</f>
        <v>5780</v>
      </c>
    </row>
    <row r="60" spans="1:14" x14ac:dyDescent="0.2">
      <c r="A60" s="4" t="s">
        <v>176</v>
      </c>
      <c r="B60" s="5">
        <v>45932</v>
      </c>
      <c r="C60" s="4" t="s">
        <v>37</v>
      </c>
      <c r="D60" s="4" t="s">
        <v>43</v>
      </c>
      <c r="E60" s="4" t="s">
        <v>23</v>
      </c>
      <c r="F60" s="4" t="s">
        <v>68</v>
      </c>
      <c r="G60" s="4" t="s">
        <v>69</v>
      </c>
      <c r="H60" s="4">
        <v>7</v>
      </c>
      <c r="I60" s="10">
        <v>18.399999999999999</v>
      </c>
      <c r="J60" s="4" t="s">
        <v>25</v>
      </c>
      <c r="K60" s="11">
        <f>tbl_Sales[[#This Row],[Units]] *tbl_Sales[[#This Row],[Unit Price]]</f>
        <v>128.79999999999998</v>
      </c>
      <c r="L60" s="4">
        <f>_xlfn.XLOOKUP(tbl_Sales[[#This Row],[Order ID]], [1]!Discount_tbl[Order ID], [1]!Discount_tbl[Discount %], 0)</f>
        <v>0</v>
      </c>
      <c r="M60" s="4">
        <f>tbl_Sales[[#This Row],[discount]]/100</f>
        <v>0</v>
      </c>
      <c r="N60" s="11">
        <f>(1-tbl_Sales[[#This Row],[Discount Percentage]]) * tbl_Sales[[#This Row],[Net Revenue]]</f>
        <v>128.79999999999998</v>
      </c>
    </row>
    <row r="61" spans="1:14" x14ac:dyDescent="0.2">
      <c r="A61" s="4" t="s">
        <v>177</v>
      </c>
      <c r="B61" s="5">
        <v>45933</v>
      </c>
      <c r="C61" s="4" t="s">
        <v>21</v>
      </c>
      <c r="D61" s="4" t="s">
        <v>33</v>
      </c>
      <c r="E61" s="4" t="s">
        <v>34</v>
      </c>
      <c r="F61" s="4" t="s">
        <v>102</v>
      </c>
      <c r="G61" s="4" t="s">
        <v>103</v>
      </c>
      <c r="H61" s="4">
        <v>10</v>
      </c>
      <c r="I61" s="10">
        <v>24.5</v>
      </c>
      <c r="J61" s="4" t="s">
        <v>35</v>
      </c>
      <c r="K61" s="11">
        <f>tbl_Sales[[#This Row],[Units]] *tbl_Sales[[#This Row],[Unit Price]]</f>
        <v>245</v>
      </c>
      <c r="L61" s="4">
        <f>_xlfn.XLOOKUP(tbl_Sales[[#This Row],[Order ID]], [1]!Discount_tbl[Order ID], [1]!Discount_tbl[Discount %], 0)</f>
        <v>0</v>
      </c>
      <c r="M61" s="4">
        <f>tbl_Sales[[#This Row],[discount]]/100</f>
        <v>0</v>
      </c>
      <c r="N61" s="11">
        <f>(1-tbl_Sales[[#This Row],[Discount Percentage]]) * tbl_Sales[[#This Row],[Net Revenue]]</f>
        <v>245</v>
      </c>
    </row>
    <row r="62" spans="1:14" x14ac:dyDescent="0.2">
      <c r="A62" s="4" t="s">
        <v>181</v>
      </c>
      <c r="B62" s="5">
        <v>45937</v>
      </c>
      <c r="C62" s="4" t="s">
        <v>182</v>
      </c>
      <c r="D62" s="4" t="s">
        <v>43</v>
      </c>
      <c r="E62" s="4" t="s">
        <v>23</v>
      </c>
      <c r="F62" s="4" t="s">
        <v>122</v>
      </c>
      <c r="G62" s="4" t="s">
        <v>69</v>
      </c>
      <c r="H62" s="4">
        <v>1</v>
      </c>
      <c r="I62" s="10">
        <v>12.25</v>
      </c>
      <c r="J62" s="4" t="s">
        <v>19</v>
      </c>
      <c r="K62" s="11">
        <f>tbl_Sales[[#This Row],[Units]] *tbl_Sales[[#This Row],[Unit Price]]</f>
        <v>12.25</v>
      </c>
      <c r="L62" s="4">
        <f>_xlfn.XLOOKUP(tbl_Sales[[#This Row],[Order ID]], [1]!Discount_tbl[Order ID], [1]!Discount_tbl[Discount %], 0)</f>
        <v>5</v>
      </c>
      <c r="M62" s="4">
        <f>tbl_Sales[[#This Row],[discount]]/100</f>
        <v>0.05</v>
      </c>
      <c r="N62" s="11">
        <f>(1-tbl_Sales[[#This Row],[Discount Percentage]]) * tbl_Sales[[#This Row],[Net Revenue]]</f>
        <v>11.637499999999999</v>
      </c>
    </row>
    <row r="63" spans="1:14" x14ac:dyDescent="0.2">
      <c r="A63" s="4" t="s">
        <v>183</v>
      </c>
      <c r="B63" s="5">
        <v>46021</v>
      </c>
      <c r="C63" s="4" t="s">
        <v>148</v>
      </c>
      <c r="D63" s="4" t="s">
        <v>43</v>
      </c>
      <c r="E63" s="4" t="s">
        <v>23</v>
      </c>
      <c r="F63" s="4" t="s">
        <v>29</v>
      </c>
      <c r="G63" s="4" t="s">
        <v>30</v>
      </c>
      <c r="H63" s="4">
        <v>39</v>
      </c>
      <c r="I63" s="10">
        <v>76.5</v>
      </c>
      <c r="J63" s="4" t="s">
        <v>35</v>
      </c>
      <c r="K63" s="11">
        <f>tbl_Sales[[#This Row],[Units]] *tbl_Sales[[#This Row],[Unit Price]]</f>
        <v>2983.5</v>
      </c>
      <c r="L63" s="4">
        <f>_xlfn.XLOOKUP(tbl_Sales[[#This Row],[Order ID]], [1]!Discount_tbl[Order ID], [1]!Discount_tbl[Discount %], 0)</f>
        <v>5</v>
      </c>
      <c r="M63" s="4">
        <f>tbl_Sales[[#This Row],[discount]]/100</f>
        <v>0.05</v>
      </c>
      <c r="N63" s="11">
        <f>(1-tbl_Sales[[#This Row],[Discount Percentage]]) * tbl_Sales[[#This Row],[Net Revenue]]</f>
        <v>2834.3249999999998</v>
      </c>
    </row>
    <row r="64" spans="1:14" x14ac:dyDescent="0.2">
      <c r="A64" s="4" t="s">
        <v>184</v>
      </c>
      <c r="B64" s="5">
        <v>46013</v>
      </c>
      <c r="C64" s="4" t="s">
        <v>13</v>
      </c>
      <c r="D64" s="4" t="s">
        <v>60</v>
      </c>
      <c r="E64" s="4" t="s">
        <v>15</v>
      </c>
      <c r="F64" s="4" t="s">
        <v>16</v>
      </c>
      <c r="G64" s="4" t="s">
        <v>17</v>
      </c>
      <c r="H64" s="4">
        <v>30</v>
      </c>
      <c r="I64" s="10">
        <v>94.75</v>
      </c>
      <c r="J64" s="4" t="s">
        <v>19</v>
      </c>
      <c r="K64" s="11">
        <f>tbl_Sales[[#This Row],[Units]] *tbl_Sales[[#This Row],[Unit Price]]</f>
        <v>2842.5</v>
      </c>
      <c r="L64" s="4">
        <f>_xlfn.XLOOKUP(tbl_Sales[[#This Row],[Order ID]], [1]!Discount_tbl[Order ID], [1]!Discount_tbl[Discount %], 0)</f>
        <v>0</v>
      </c>
      <c r="M64" s="4">
        <f>tbl_Sales[[#This Row],[discount]]/100</f>
        <v>0</v>
      </c>
      <c r="N64" s="11">
        <f>(1-tbl_Sales[[#This Row],[Discount Percentage]]) * tbl_Sales[[#This Row],[Net Revenue]]</f>
        <v>2842.5</v>
      </c>
    </row>
    <row r="65" spans="1:14" x14ac:dyDescent="0.2">
      <c r="A65" s="4" t="s">
        <v>188</v>
      </c>
      <c r="B65" s="5">
        <v>45972</v>
      </c>
      <c r="C65" s="4" t="s">
        <v>42</v>
      </c>
      <c r="D65" s="4" t="s">
        <v>33</v>
      </c>
      <c r="E65" s="4" t="s">
        <v>28</v>
      </c>
      <c r="F65" s="4" t="s">
        <v>102</v>
      </c>
      <c r="G65" s="4" t="s">
        <v>103</v>
      </c>
      <c r="H65" s="4">
        <v>17</v>
      </c>
      <c r="I65" s="10">
        <v>24.5</v>
      </c>
      <c r="J65" s="4" t="s">
        <v>48</v>
      </c>
      <c r="K65" s="11">
        <f>tbl_Sales[[#This Row],[Units]] *tbl_Sales[[#This Row],[Unit Price]]</f>
        <v>416.5</v>
      </c>
      <c r="L65" s="4">
        <f>_xlfn.XLOOKUP(tbl_Sales[[#This Row],[Order ID]], [1]!Discount_tbl[Order ID], [1]!Discount_tbl[Discount %], 0)</f>
        <v>0</v>
      </c>
      <c r="M65" s="4">
        <f>tbl_Sales[[#This Row],[discount]]/100</f>
        <v>0</v>
      </c>
      <c r="N65" s="11">
        <f>(1-tbl_Sales[[#This Row],[Discount Percentage]]) * tbl_Sales[[#This Row],[Net Revenue]]</f>
        <v>416.5</v>
      </c>
    </row>
    <row r="66" spans="1:14" x14ac:dyDescent="0.2">
      <c r="A66" s="4" t="s">
        <v>189</v>
      </c>
      <c r="B66" s="5">
        <v>45980</v>
      </c>
      <c r="C66" s="4" t="s">
        <v>109</v>
      </c>
      <c r="D66" s="4" t="s">
        <v>38</v>
      </c>
      <c r="E66" s="4" t="s">
        <v>23</v>
      </c>
      <c r="F66" s="4" t="s">
        <v>119</v>
      </c>
      <c r="G66" s="4" t="s">
        <v>30</v>
      </c>
      <c r="H66" s="4">
        <v>3</v>
      </c>
      <c r="I66" s="10">
        <v>189</v>
      </c>
      <c r="J66" s="4" t="s">
        <v>35</v>
      </c>
      <c r="K66" s="11">
        <f>tbl_Sales[[#This Row],[Units]] *tbl_Sales[[#This Row],[Unit Price]]</f>
        <v>567</v>
      </c>
      <c r="L66" s="4">
        <f>_xlfn.XLOOKUP(tbl_Sales[[#This Row],[Order ID]], [1]!Discount_tbl[Order ID], [1]!Discount_tbl[Discount %], 0)</f>
        <v>17.5</v>
      </c>
      <c r="M66" s="4">
        <f>tbl_Sales[[#This Row],[discount]]/100</f>
        <v>0.17499999999999999</v>
      </c>
      <c r="N66" s="11">
        <f>(1-tbl_Sales[[#This Row],[Discount Percentage]]) * tbl_Sales[[#This Row],[Net Revenue]]</f>
        <v>467.77499999999998</v>
      </c>
    </row>
    <row r="67" spans="1:14" x14ac:dyDescent="0.2">
      <c r="A67" s="4" t="s">
        <v>190</v>
      </c>
      <c r="B67" s="5">
        <v>45941</v>
      </c>
      <c r="C67" s="4" t="s">
        <v>13</v>
      </c>
      <c r="D67" s="4" t="s">
        <v>33</v>
      </c>
      <c r="E67" s="4" t="s">
        <v>343</v>
      </c>
      <c r="F67" s="4" t="s">
        <v>102</v>
      </c>
      <c r="G67" s="4" t="s">
        <v>103</v>
      </c>
      <c r="H67" s="4">
        <v>28</v>
      </c>
      <c r="I67" s="10">
        <v>24.5</v>
      </c>
      <c r="J67" s="4" t="s">
        <v>25</v>
      </c>
      <c r="K67" s="11">
        <f>tbl_Sales[[#This Row],[Units]] *tbl_Sales[[#This Row],[Unit Price]]</f>
        <v>686</v>
      </c>
      <c r="L67" s="4">
        <f>_xlfn.XLOOKUP(tbl_Sales[[#This Row],[Order ID]], [1]!Discount_tbl[Order ID], [1]!Discount_tbl[Discount %], 0)</f>
        <v>0</v>
      </c>
      <c r="M67" s="4">
        <f>tbl_Sales[[#This Row],[discount]]/100</f>
        <v>0</v>
      </c>
      <c r="N67" s="11">
        <f>(1-tbl_Sales[[#This Row],[Discount Percentage]]) * tbl_Sales[[#This Row],[Net Revenue]]</f>
        <v>686</v>
      </c>
    </row>
    <row r="68" spans="1:14" x14ac:dyDescent="0.2">
      <c r="A68" s="4" t="s">
        <v>191</v>
      </c>
      <c r="B68" s="5">
        <v>46002</v>
      </c>
      <c r="C68" s="4" t="s">
        <v>37</v>
      </c>
      <c r="D68" s="4" t="s">
        <v>33</v>
      </c>
      <c r="E68" s="4" t="s">
        <v>23</v>
      </c>
      <c r="F68" s="4" t="s">
        <v>68</v>
      </c>
      <c r="G68" s="4" t="s">
        <v>69</v>
      </c>
      <c r="H68" s="4">
        <v>16</v>
      </c>
      <c r="I68" s="10">
        <v>18.399999999999999</v>
      </c>
      <c r="J68" s="4" t="s">
        <v>35</v>
      </c>
      <c r="K68" s="11">
        <f>tbl_Sales[[#This Row],[Units]] *tbl_Sales[[#This Row],[Unit Price]]</f>
        <v>294.39999999999998</v>
      </c>
      <c r="L68" s="4">
        <f>_xlfn.XLOOKUP(tbl_Sales[[#This Row],[Order ID]], [1]!Discount_tbl[Order ID], [1]!Discount_tbl[Discount %], 0)</f>
        <v>0</v>
      </c>
      <c r="M68" s="4">
        <f>tbl_Sales[[#This Row],[discount]]/100</f>
        <v>0</v>
      </c>
      <c r="N68" s="11">
        <f>(1-tbl_Sales[[#This Row],[Discount Percentage]]) * tbl_Sales[[#This Row],[Net Revenue]]</f>
        <v>294.39999999999998</v>
      </c>
    </row>
    <row r="69" spans="1:14" x14ac:dyDescent="0.2">
      <c r="A69" s="4" t="s">
        <v>192</v>
      </c>
      <c r="B69" s="5">
        <v>45962</v>
      </c>
      <c r="C69" s="4" t="s">
        <v>193</v>
      </c>
      <c r="D69" s="4" t="s">
        <v>60</v>
      </c>
      <c r="E69" s="4" t="s">
        <v>23</v>
      </c>
      <c r="F69" s="4" t="s">
        <v>29</v>
      </c>
      <c r="G69" s="4" t="s">
        <v>30</v>
      </c>
      <c r="H69" s="4">
        <v>37</v>
      </c>
      <c r="I69" s="10">
        <v>76.5</v>
      </c>
      <c r="J69" s="4" t="s">
        <v>35</v>
      </c>
      <c r="K69" s="11">
        <f>tbl_Sales[[#This Row],[Units]] *tbl_Sales[[#This Row],[Unit Price]]</f>
        <v>2830.5</v>
      </c>
      <c r="L69" s="4">
        <f>_xlfn.XLOOKUP(tbl_Sales[[#This Row],[Order ID]], [1]!Discount_tbl[Order ID], [1]!Discount_tbl[Discount %], 0)</f>
        <v>0</v>
      </c>
      <c r="M69" s="4">
        <f>tbl_Sales[[#This Row],[discount]]/100</f>
        <v>0</v>
      </c>
      <c r="N69" s="11">
        <f>(1-tbl_Sales[[#This Row],[Discount Percentage]]) * tbl_Sales[[#This Row],[Net Revenue]]</f>
        <v>2830.5</v>
      </c>
    </row>
    <row r="70" spans="1:14" x14ac:dyDescent="0.2">
      <c r="A70" s="4" t="s">
        <v>195</v>
      </c>
      <c r="B70" s="5">
        <v>45961</v>
      </c>
      <c r="C70" s="4" t="s">
        <v>87</v>
      </c>
      <c r="D70" s="4" t="s">
        <v>38</v>
      </c>
      <c r="E70" s="4" t="s">
        <v>15</v>
      </c>
      <c r="F70" s="4" t="s">
        <v>51</v>
      </c>
      <c r="G70" s="4" t="s">
        <v>30</v>
      </c>
      <c r="H70" s="4">
        <v>37</v>
      </c>
      <c r="I70" s="10">
        <v>340</v>
      </c>
      <c r="J70" s="4" t="s">
        <v>48</v>
      </c>
      <c r="K70" s="11">
        <f>tbl_Sales[[#This Row],[Units]] *tbl_Sales[[#This Row],[Unit Price]]</f>
        <v>12580</v>
      </c>
      <c r="L70" s="4">
        <f>_xlfn.XLOOKUP(tbl_Sales[[#This Row],[Order ID]], [1]!Discount_tbl[Order ID], [1]!Discount_tbl[Discount %], 0)</f>
        <v>20</v>
      </c>
      <c r="M70" s="4">
        <f>tbl_Sales[[#This Row],[discount]]/100</f>
        <v>0.2</v>
      </c>
      <c r="N70" s="11">
        <f>(1-tbl_Sales[[#This Row],[Discount Percentage]]) * tbl_Sales[[#This Row],[Net Revenue]]</f>
        <v>10064</v>
      </c>
    </row>
    <row r="71" spans="1:14" x14ac:dyDescent="0.2">
      <c r="A71" s="4" t="s">
        <v>196</v>
      </c>
      <c r="B71" s="5">
        <v>46021</v>
      </c>
      <c r="C71" s="4" t="s">
        <v>13</v>
      </c>
      <c r="D71" s="4" t="s">
        <v>43</v>
      </c>
      <c r="E71" s="4" t="s">
        <v>28</v>
      </c>
      <c r="F71" s="4" t="s">
        <v>102</v>
      </c>
      <c r="G71" s="4" t="s">
        <v>103</v>
      </c>
      <c r="H71" s="4">
        <v>27</v>
      </c>
      <c r="I71" s="10">
        <v>24.5</v>
      </c>
      <c r="J71" s="4" t="s">
        <v>48</v>
      </c>
      <c r="K71" s="11">
        <f>tbl_Sales[[#This Row],[Units]] *tbl_Sales[[#This Row],[Unit Price]]</f>
        <v>661.5</v>
      </c>
      <c r="L71" s="4">
        <f>_xlfn.XLOOKUP(tbl_Sales[[#This Row],[Order ID]], [1]!Discount_tbl[Order ID], [1]!Discount_tbl[Discount %], 0)</f>
        <v>0</v>
      </c>
      <c r="M71" s="4">
        <f>tbl_Sales[[#This Row],[discount]]/100</f>
        <v>0</v>
      </c>
      <c r="N71" s="11">
        <f>(1-tbl_Sales[[#This Row],[Discount Percentage]]) * tbl_Sales[[#This Row],[Net Revenue]]</f>
        <v>661.5</v>
      </c>
    </row>
    <row r="72" spans="1:14" x14ac:dyDescent="0.2">
      <c r="A72" s="4" t="s">
        <v>197</v>
      </c>
      <c r="B72" s="5">
        <v>45985</v>
      </c>
      <c r="C72" s="4" t="s">
        <v>164</v>
      </c>
      <c r="D72" s="4" t="s">
        <v>38</v>
      </c>
      <c r="E72" s="4" t="s">
        <v>15</v>
      </c>
      <c r="F72" s="4" t="s">
        <v>39</v>
      </c>
      <c r="G72" s="4" t="s">
        <v>40</v>
      </c>
      <c r="H72" s="4">
        <v>6</v>
      </c>
      <c r="I72" s="10">
        <v>44</v>
      </c>
      <c r="J72" s="4" t="s">
        <v>35</v>
      </c>
      <c r="K72" s="11">
        <f>tbl_Sales[[#This Row],[Units]] *tbl_Sales[[#This Row],[Unit Price]]</f>
        <v>264</v>
      </c>
      <c r="L72" s="4">
        <f>_xlfn.XLOOKUP(tbl_Sales[[#This Row],[Order ID]], [1]!Discount_tbl[Order ID], [1]!Discount_tbl[Discount %], 0)</f>
        <v>7.5</v>
      </c>
      <c r="M72" s="4">
        <f>tbl_Sales[[#This Row],[discount]]/100</f>
        <v>7.4999999999999997E-2</v>
      </c>
      <c r="N72" s="11">
        <f>(1-tbl_Sales[[#This Row],[Discount Percentage]]) * tbl_Sales[[#This Row],[Net Revenue]]</f>
        <v>244.20000000000002</v>
      </c>
    </row>
    <row r="73" spans="1:14" x14ac:dyDescent="0.2">
      <c r="A73" s="4" t="s">
        <v>199</v>
      </c>
      <c r="B73" s="5">
        <v>45973</v>
      </c>
      <c r="C73" s="4" t="s">
        <v>37</v>
      </c>
      <c r="D73" s="4" t="s">
        <v>60</v>
      </c>
      <c r="E73" s="4" t="s">
        <v>63</v>
      </c>
      <c r="F73" s="4" t="s">
        <v>24</v>
      </c>
      <c r="G73" s="4" t="s">
        <v>17</v>
      </c>
      <c r="H73" s="4">
        <v>13</v>
      </c>
      <c r="I73" s="10">
        <v>68</v>
      </c>
      <c r="J73" s="4" t="s">
        <v>82</v>
      </c>
      <c r="K73" s="11">
        <f>tbl_Sales[[#This Row],[Units]] *tbl_Sales[[#This Row],[Unit Price]]</f>
        <v>884</v>
      </c>
      <c r="L73" s="4">
        <f>_xlfn.XLOOKUP(tbl_Sales[[#This Row],[Order ID]], [1]!Discount_tbl[Order ID], [1]!Discount_tbl[Discount %], 0)</f>
        <v>0</v>
      </c>
      <c r="M73" s="4">
        <f>tbl_Sales[[#This Row],[discount]]/100</f>
        <v>0</v>
      </c>
      <c r="N73" s="11">
        <f>(1-tbl_Sales[[#This Row],[Discount Percentage]]) * tbl_Sales[[#This Row],[Net Revenue]]</f>
        <v>884</v>
      </c>
    </row>
    <row r="74" spans="1:14" x14ac:dyDescent="0.2">
      <c r="A74" s="4" t="s">
        <v>201</v>
      </c>
      <c r="B74" s="5">
        <v>45962</v>
      </c>
      <c r="C74" s="4" t="s">
        <v>37</v>
      </c>
      <c r="D74" s="4" t="s">
        <v>33</v>
      </c>
      <c r="E74" s="4" t="s">
        <v>15</v>
      </c>
      <c r="F74" s="4" t="s">
        <v>102</v>
      </c>
      <c r="G74" s="4" t="s">
        <v>103</v>
      </c>
      <c r="H74" s="4">
        <v>2</v>
      </c>
      <c r="I74" s="10">
        <v>24.5</v>
      </c>
      <c r="J74" s="4" t="s">
        <v>19</v>
      </c>
      <c r="K74" s="11">
        <f>tbl_Sales[[#This Row],[Units]] *tbl_Sales[[#This Row],[Unit Price]]</f>
        <v>49</v>
      </c>
      <c r="L74" s="4">
        <f>_xlfn.XLOOKUP(tbl_Sales[[#This Row],[Order ID]], [1]!Discount_tbl[Order ID], [1]!Discount_tbl[Discount %], 0)</f>
        <v>0</v>
      </c>
      <c r="M74" s="4">
        <f>tbl_Sales[[#This Row],[discount]]/100</f>
        <v>0</v>
      </c>
      <c r="N74" s="11">
        <f>(1-tbl_Sales[[#This Row],[Discount Percentage]]) * tbl_Sales[[#This Row],[Net Revenue]]</f>
        <v>49</v>
      </c>
    </row>
    <row r="75" spans="1:14" x14ac:dyDescent="0.2">
      <c r="A75" s="4" t="s">
        <v>203</v>
      </c>
      <c r="B75" s="5">
        <v>46001</v>
      </c>
      <c r="C75" s="4" t="s">
        <v>37</v>
      </c>
      <c r="D75" s="4" t="s">
        <v>60</v>
      </c>
      <c r="E75" s="4" t="s">
        <v>28</v>
      </c>
      <c r="F75" s="4" t="s">
        <v>39</v>
      </c>
      <c r="G75" s="4" t="s">
        <v>40</v>
      </c>
      <c r="H75" s="4">
        <v>1</v>
      </c>
      <c r="I75" s="10">
        <v>44</v>
      </c>
      <c r="J75" s="4" t="s">
        <v>25</v>
      </c>
      <c r="K75" s="11">
        <f>tbl_Sales[[#This Row],[Units]] *tbl_Sales[[#This Row],[Unit Price]]</f>
        <v>44</v>
      </c>
      <c r="L75" s="4">
        <f>_xlfn.XLOOKUP(tbl_Sales[[#This Row],[Order ID]], [1]!Discount_tbl[Order ID], [1]!Discount_tbl[Discount %], 0)</f>
        <v>0</v>
      </c>
      <c r="M75" s="4">
        <f>tbl_Sales[[#This Row],[discount]]/100</f>
        <v>0</v>
      </c>
      <c r="N75" s="11">
        <f>(1-tbl_Sales[[#This Row],[Discount Percentage]]) * tbl_Sales[[#This Row],[Net Revenue]]</f>
        <v>44</v>
      </c>
    </row>
    <row r="76" spans="1:14" x14ac:dyDescent="0.2">
      <c r="A76" s="4" t="s">
        <v>204</v>
      </c>
      <c r="B76" s="5">
        <v>46002</v>
      </c>
      <c r="C76" s="4" t="s">
        <v>57</v>
      </c>
      <c r="D76" s="4" t="s">
        <v>38</v>
      </c>
      <c r="E76" s="4" t="s">
        <v>15</v>
      </c>
      <c r="F76" s="4" t="s">
        <v>24</v>
      </c>
      <c r="G76" s="4" t="s">
        <v>17</v>
      </c>
      <c r="H76" s="4">
        <v>26</v>
      </c>
      <c r="I76" s="10">
        <v>68</v>
      </c>
      <c r="J76" s="4" t="s">
        <v>19</v>
      </c>
      <c r="K76" s="11">
        <f>tbl_Sales[[#This Row],[Units]] *tbl_Sales[[#This Row],[Unit Price]]</f>
        <v>1768</v>
      </c>
      <c r="L76" s="4">
        <f>_xlfn.XLOOKUP(tbl_Sales[[#This Row],[Order ID]], [1]!Discount_tbl[Order ID], [1]!Discount_tbl[Discount %], 0)</f>
        <v>15</v>
      </c>
      <c r="M76" s="4">
        <f>tbl_Sales[[#This Row],[discount]]/100</f>
        <v>0.15</v>
      </c>
      <c r="N76" s="11">
        <f>(1-tbl_Sales[[#This Row],[Discount Percentage]]) * tbl_Sales[[#This Row],[Net Revenue]]</f>
        <v>1502.8</v>
      </c>
    </row>
    <row r="77" spans="1:14" x14ac:dyDescent="0.2">
      <c r="A77" s="4" t="s">
        <v>205</v>
      </c>
      <c r="B77" s="5">
        <v>45988</v>
      </c>
      <c r="C77" s="4" t="s">
        <v>164</v>
      </c>
      <c r="D77" s="4" t="s">
        <v>60</v>
      </c>
      <c r="E77" s="4" t="s">
        <v>343</v>
      </c>
      <c r="F77" s="4" t="s">
        <v>119</v>
      </c>
      <c r="G77" s="4" t="s">
        <v>30</v>
      </c>
      <c r="H77" s="4">
        <v>8</v>
      </c>
      <c r="I77" s="10">
        <v>189</v>
      </c>
      <c r="J77" s="4" t="s">
        <v>25</v>
      </c>
      <c r="K77" s="11">
        <f>tbl_Sales[[#This Row],[Units]] *tbl_Sales[[#This Row],[Unit Price]]</f>
        <v>1512</v>
      </c>
      <c r="L77" s="4">
        <f>_xlfn.XLOOKUP(tbl_Sales[[#This Row],[Order ID]], [1]!Discount_tbl[Order ID], [1]!Discount_tbl[Discount %], 0)</f>
        <v>0</v>
      </c>
      <c r="M77" s="4">
        <f>tbl_Sales[[#This Row],[discount]]/100</f>
        <v>0</v>
      </c>
      <c r="N77" s="11">
        <f>(1-tbl_Sales[[#This Row],[Discount Percentage]]) * tbl_Sales[[#This Row],[Net Revenue]]</f>
        <v>1512</v>
      </c>
    </row>
    <row r="78" spans="1:14" x14ac:dyDescent="0.2">
      <c r="A78" s="4" t="s">
        <v>206</v>
      </c>
      <c r="B78" s="5">
        <v>45980</v>
      </c>
      <c r="C78" s="4" t="s">
        <v>57</v>
      </c>
      <c r="D78" s="4" t="s">
        <v>60</v>
      </c>
      <c r="E78" s="4" t="s">
        <v>23</v>
      </c>
      <c r="F78" s="4" t="s">
        <v>51</v>
      </c>
      <c r="G78" s="4" t="s">
        <v>30</v>
      </c>
      <c r="H78" s="4">
        <v>40</v>
      </c>
      <c r="I78" s="10">
        <v>340</v>
      </c>
      <c r="J78" s="4" t="s">
        <v>48</v>
      </c>
      <c r="K78" s="11">
        <f>tbl_Sales[[#This Row],[Units]] *tbl_Sales[[#This Row],[Unit Price]]</f>
        <v>13600</v>
      </c>
      <c r="L78" s="4">
        <f>_xlfn.XLOOKUP(tbl_Sales[[#This Row],[Order ID]], [1]!Discount_tbl[Order ID], [1]!Discount_tbl[Discount %], 0)</f>
        <v>0</v>
      </c>
      <c r="M78" s="4">
        <f>tbl_Sales[[#This Row],[discount]]/100</f>
        <v>0</v>
      </c>
      <c r="N78" s="11">
        <f>(1-tbl_Sales[[#This Row],[Discount Percentage]]) * tbl_Sales[[#This Row],[Net Revenue]]</f>
        <v>13600</v>
      </c>
    </row>
    <row r="79" spans="1:14" x14ac:dyDescent="0.2">
      <c r="A79" s="4" t="s">
        <v>207</v>
      </c>
      <c r="B79" s="5">
        <v>46008</v>
      </c>
      <c r="C79" s="4" t="s">
        <v>21</v>
      </c>
      <c r="D79" s="4" t="s">
        <v>43</v>
      </c>
      <c r="E79" s="4" t="s">
        <v>15</v>
      </c>
      <c r="F79" s="4" t="s">
        <v>24</v>
      </c>
      <c r="G79" s="4" t="s">
        <v>17</v>
      </c>
      <c r="H79" s="4">
        <v>30</v>
      </c>
      <c r="I79" s="10">
        <v>68</v>
      </c>
      <c r="J79" s="4" t="s">
        <v>35</v>
      </c>
      <c r="K79" s="11">
        <f>tbl_Sales[[#This Row],[Units]] *tbl_Sales[[#This Row],[Unit Price]]</f>
        <v>2040</v>
      </c>
      <c r="L79" s="4">
        <f>_xlfn.XLOOKUP(tbl_Sales[[#This Row],[Order ID]], [1]!Discount_tbl[Order ID], [1]!Discount_tbl[Discount %], 0)</f>
        <v>0</v>
      </c>
      <c r="M79" s="4">
        <f>tbl_Sales[[#This Row],[discount]]/100</f>
        <v>0</v>
      </c>
      <c r="N79" s="11">
        <f>(1-tbl_Sales[[#This Row],[Discount Percentage]]) * tbl_Sales[[#This Row],[Net Revenue]]</f>
        <v>2040</v>
      </c>
    </row>
    <row r="80" spans="1:14" x14ac:dyDescent="0.2">
      <c r="A80" s="4" t="s">
        <v>210</v>
      </c>
      <c r="B80" s="5">
        <v>45955</v>
      </c>
      <c r="C80" s="4" t="s">
        <v>75</v>
      </c>
      <c r="D80" s="4" t="s">
        <v>60</v>
      </c>
      <c r="E80" s="4" t="s">
        <v>34</v>
      </c>
      <c r="F80" s="4" t="s">
        <v>102</v>
      </c>
      <c r="G80" s="4" t="s">
        <v>103</v>
      </c>
      <c r="H80" s="4">
        <v>1</v>
      </c>
      <c r="I80" s="10">
        <v>24.5</v>
      </c>
      <c r="J80" s="4" t="s">
        <v>48</v>
      </c>
      <c r="K80" s="11">
        <f>tbl_Sales[[#This Row],[Units]] *tbl_Sales[[#This Row],[Unit Price]]</f>
        <v>24.5</v>
      </c>
      <c r="L80" s="4">
        <f>_xlfn.XLOOKUP(tbl_Sales[[#This Row],[Order ID]], [1]!Discount_tbl[Order ID], [1]!Discount_tbl[Discount %], 0)</f>
        <v>0</v>
      </c>
      <c r="M80" s="4">
        <f>tbl_Sales[[#This Row],[discount]]/100</f>
        <v>0</v>
      </c>
      <c r="N80" s="11">
        <f>(1-tbl_Sales[[#This Row],[Discount Percentage]]) * tbl_Sales[[#This Row],[Net Revenue]]</f>
        <v>24.5</v>
      </c>
    </row>
    <row r="81" spans="1:14" x14ac:dyDescent="0.2">
      <c r="A81" s="4" t="s">
        <v>211</v>
      </c>
      <c r="B81" s="5">
        <v>45979</v>
      </c>
      <c r="C81" s="4" t="s">
        <v>193</v>
      </c>
      <c r="D81" s="4" t="s">
        <v>60</v>
      </c>
      <c r="E81" s="4" t="s">
        <v>34</v>
      </c>
      <c r="F81" s="4" t="s">
        <v>29</v>
      </c>
      <c r="G81" s="4" t="s">
        <v>30</v>
      </c>
      <c r="H81" s="4">
        <v>31</v>
      </c>
      <c r="I81" s="10">
        <v>76.5</v>
      </c>
      <c r="J81" s="4" t="s">
        <v>82</v>
      </c>
      <c r="K81" s="11">
        <f>tbl_Sales[[#This Row],[Units]] *tbl_Sales[[#This Row],[Unit Price]]</f>
        <v>2371.5</v>
      </c>
      <c r="L81" s="4">
        <f>_xlfn.XLOOKUP(tbl_Sales[[#This Row],[Order ID]], [1]!Discount_tbl[Order ID], [1]!Discount_tbl[Discount %], 0)</f>
        <v>5</v>
      </c>
      <c r="M81" s="4">
        <f>tbl_Sales[[#This Row],[discount]]/100</f>
        <v>0.05</v>
      </c>
      <c r="N81" s="11">
        <f>(1-tbl_Sales[[#This Row],[Discount Percentage]]) * tbl_Sales[[#This Row],[Net Revenue]]</f>
        <v>2252.9249999999997</v>
      </c>
    </row>
    <row r="82" spans="1:14" x14ac:dyDescent="0.2">
      <c r="A82" s="4" t="s">
        <v>213</v>
      </c>
      <c r="B82" s="5">
        <v>45938</v>
      </c>
      <c r="C82" s="4" t="s">
        <v>37</v>
      </c>
      <c r="D82" s="4" t="s">
        <v>38</v>
      </c>
      <c r="E82" s="4" t="s">
        <v>63</v>
      </c>
      <c r="F82" s="4" t="s">
        <v>29</v>
      </c>
      <c r="G82" s="4" t="s">
        <v>30</v>
      </c>
      <c r="H82" s="4">
        <v>38</v>
      </c>
      <c r="I82" s="10">
        <v>76.5</v>
      </c>
      <c r="J82" s="4" t="s">
        <v>19</v>
      </c>
      <c r="K82" s="11">
        <f>tbl_Sales[[#This Row],[Units]] *tbl_Sales[[#This Row],[Unit Price]]</f>
        <v>2907</v>
      </c>
      <c r="L82" s="4">
        <f>_xlfn.XLOOKUP(tbl_Sales[[#This Row],[Order ID]], [1]!Discount_tbl[Order ID], [1]!Discount_tbl[Discount %], 0)</f>
        <v>12.5</v>
      </c>
      <c r="M82" s="4">
        <f>tbl_Sales[[#This Row],[discount]]/100</f>
        <v>0.125</v>
      </c>
      <c r="N82" s="11">
        <f>(1-tbl_Sales[[#This Row],[Discount Percentage]]) * tbl_Sales[[#This Row],[Net Revenue]]</f>
        <v>2543.625</v>
      </c>
    </row>
    <row r="83" spans="1:14" x14ac:dyDescent="0.2">
      <c r="A83" s="4" t="s">
        <v>214</v>
      </c>
      <c r="B83" s="5">
        <v>45996</v>
      </c>
      <c r="C83" s="4" t="s">
        <v>215</v>
      </c>
      <c r="D83" s="4" t="s">
        <v>38</v>
      </c>
      <c r="E83" s="4" t="s">
        <v>28</v>
      </c>
      <c r="F83" s="4" t="s">
        <v>24</v>
      </c>
      <c r="G83" s="4" t="s">
        <v>17</v>
      </c>
      <c r="H83" s="4">
        <v>17</v>
      </c>
      <c r="I83" s="10">
        <v>68</v>
      </c>
      <c r="J83" s="4" t="s">
        <v>82</v>
      </c>
      <c r="K83" s="11">
        <f>tbl_Sales[[#This Row],[Units]] *tbl_Sales[[#This Row],[Unit Price]]</f>
        <v>1156</v>
      </c>
      <c r="L83" s="4">
        <f>_xlfn.XLOOKUP(tbl_Sales[[#This Row],[Order ID]], [1]!Discount_tbl[Order ID], [1]!Discount_tbl[Discount %], 0)</f>
        <v>0</v>
      </c>
      <c r="M83" s="4">
        <f>tbl_Sales[[#This Row],[discount]]/100</f>
        <v>0</v>
      </c>
      <c r="N83" s="11">
        <f>(1-tbl_Sales[[#This Row],[Discount Percentage]]) * tbl_Sales[[#This Row],[Net Revenue]]</f>
        <v>1156</v>
      </c>
    </row>
    <row r="84" spans="1:14" x14ac:dyDescent="0.2">
      <c r="A84" s="4" t="s">
        <v>216</v>
      </c>
      <c r="B84" s="5">
        <v>45968</v>
      </c>
      <c r="C84" s="4" t="s">
        <v>121</v>
      </c>
      <c r="D84" s="4" t="s">
        <v>60</v>
      </c>
      <c r="E84" s="4" t="s">
        <v>63</v>
      </c>
      <c r="F84" s="4" t="s">
        <v>68</v>
      </c>
      <c r="G84" s="4" t="s">
        <v>69</v>
      </c>
      <c r="H84" s="4">
        <v>8</v>
      </c>
      <c r="I84" s="10">
        <v>18.399999999999999</v>
      </c>
      <c r="J84" s="4" t="s">
        <v>48</v>
      </c>
      <c r="K84" s="11">
        <f>tbl_Sales[[#This Row],[Units]] *tbl_Sales[[#This Row],[Unit Price]]</f>
        <v>147.19999999999999</v>
      </c>
      <c r="L84" s="4">
        <f>_xlfn.XLOOKUP(tbl_Sales[[#This Row],[Order ID]], [1]!Discount_tbl[Order ID], [1]!Discount_tbl[Discount %], 0)</f>
        <v>0</v>
      </c>
      <c r="M84" s="4">
        <f>tbl_Sales[[#This Row],[discount]]/100</f>
        <v>0</v>
      </c>
      <c r="N84" s="11">
        <f>(1-tbl_Sales[[#This Row],[Discount Percentage]]) * tbl_Sales[[#This Row],[Net Revenue]]</f>
        <v>147.19999999999999</v>
      </c>
    </row>
    <row r="85" spans="1:14" x14ac:dyDescent="0.2">
      <c r="A85" s="4" t="s">
        <v>217</v>
      </c>
      <c r="B85" s="5">
        <v>45998</v>
      </c>
      <c r="C85" s="4" t="s">
        <v>113</v>
      </c>
      <c r="D85" s="4" t="s">
        <v>60</v>
      </c>
      <c r="E85" s="4" t="s">
        <v>15</v>
      </c>
      <c r="F85" s="4" t="s">
        <v>39</v>
      </c>
      <c r="G85" s="4" t="s">
        <v>40</v>
      </c>
      <c r="H85" s="4">
        <v>5</v>
      </c>
      <c r="I85" s="10">
        <v>44</v>
      </c>
      <c r="J85" s="4" t="s">
        <v>48</v>
      </c>
      <c r="K85" s="11">
        <f>tbl_Sales[[#This Row],[Units]] *tbl_Sales[[#This Row],[Unit Price]]</f>
        <v>220</v>
      </c>
      <c r="L85" s="4">
        <f>_xlfn.XLOOKUP(tbl_Sales[[#This Row],[Order ID]], [1]!Discount_tbl[Order ID], [1]!Discount_tbl[Discount %], 0)</f>
        <v>0</v>
      </c>
      <c r="M85" s="4">
        <f>tbl_Sales[[#This Row],[discount]]/100</f>
        <v>0</v>
      </c>
      <c r="N85" s="11">
        <f>(1-tbl_Sales[[#This Row],[Discount Percentage]]) * tbl_Sales[[#This Row],[Net Revenue]]</f>
        <v>220</v>
      </c>
    </row>
    <row r="86" spans="1:14" x14ac:dyDescent="0.2">
      <c r="A86" s="4" t="s">
        <v>219</v>
      </c>
      <c r="B86" s="5">
        <v>45944</v>
      </c>
      <c r="C86" s="4" t="s">
        <v>37</v>
      </c>
      <c r="D86" s="4" t="s">
        <v>60</v>
      </c>
      <c r="E86" s="4" t="s">
        <v>23</v>
      </c>
      <c r="F86" s="4" t="s">
        <v>119</v>
      </c>
      <c r="G86" s="4" t="s">
        <v>30</v>
      </c>
      <c r="H86" s="4">
        <v>34</v>
      </c>
      <c r="I86" s="10">
        <v>189</v>
      </c>
      <c r="J86" s="4" t="s">
        <v>82</v>
      </c>
      <c r="K86" s="11">
        <f>tbl_Sales[[#This Row],[Units]] *tbl_Sales[[#This Row],[Unit Price]]</f>
        <v>6426</v>
      </c>
      <c r="L86" s="4">
        <f>_xlfn.XLOOKUP(tbl_Sales[[#This Row],[Order ID]], [1]!Discount_tbl[Order ID], [1]!Discount_tbl[Discount %], 0)</f>
        <v>0</v>
      </c>
      <c r="M86" s="4">
        <f>tbl_Sales[[#This Row],[discount]]/100</f>
        <v>0</v>
      </c>
      <c r="N86" s="11">
        <f>(1-tbl_Sales[[#This Row],[Discount Percentage]]) * tbl_Sales[[#This Row],[Net Revenue]]</f>
        <v>6426</v>
      </c>
    </row>
    <row r="87" spans="1:14" x14ac:dyDescent="0.2">
      <c r="A87" s="4" t="s">
        <v>220</v>
      </c>
      <c r="B87" s="5">
        <v>45942</v>
      </c>
      <c r="C87" s="4" t="s">
        <v>54</v>
      </c>
      <c r="D87" s="4" t="s">
        <v>60</v>
      </c>
      <c r="E87" s="4" t="s">
        <v>23</v>
      </c>
      <c r="F87" s="4" t="s">
        <v>122</v>
      </c>
      <c r="G87" s="4" t="s">
        <v>69</v>
      </c>
      <c r="H87" s="4">
        <v>38</v>
      </c>
      <c r="I87" s="10">
        <v>12.25</v>
      </c>
      <c r="J87" s="4" t="s">
        <v>35</v>
      </c>
      <c r="K87" s="11">
        <f>tbl_Sales[[#This Row],[Units]] *tbl_Sales[[#This Row],[Unit Price]]</f>
        <v>465.5</v>
      </c>
      <c r="L87" s="4">
        <f>_xlfn.XLOOKUP(tbl_Sales[[#This Row],[Order ID]], [1]!Discount_tbl[Order ID], [1]!Discount_tbl[Discount %], 0)</f>
        <v>0</v>
      </c>
      <c r="M87" s="4">
        <f>tbl_Sales[[#This Row],[discount]]/100</f>
        <v>0</v>
      </c>
      <c r="N87" s="11">
        <f>(1-tbl_Sales[[#This Row],[Discount Percentage]]) * tbl_Sales[[#This Row],[Net Revenue]]</f>
        <v>465.5</v>
      </c>
    </row>
    <row r="88" spans="1:14" x14ac:dyDescent="0.2">
      <c r="A88" s="4" t="s">
        <v>221</v>
      </c>
      <c r="B88" s="5">
        <v>45960</v>
      </c>
      <c r="C88" s="4" t="s">
        <v>182</v>
      </c>
      <c r="D88" s="4" t="s">
        <v>43</v>
      </c>
      <c r="E88" s="4" t="s">
        <v>63</v>
      </c>
      <c r="F88" s="4" t="s">
        <v>29</v>
      </c>
      <c r="G88" s="4" t="s">
        <v>30</v>
      </c>
      <c r="H88" s="4">
        <v>4</v>
      </c>
      <c r="I88" s="10">
        <v>76.5</v>
      </c>
      <c r="J88" s="4" t="s">
        <v>35</v>
      </c>
      <c r="K88" s="11">
        <f>tbl_Sales[[#This Row],[Units]] *tbl_Sales[[#This Row],[Unit Price]]</f>
        <v>306</v>
      </c>
      <c r="L88" s="4">
        <f>_xlfn.XLOOKUP(tbl_Sales[[#This Row],[Order ID]], [1]!Discount_tbl[Order ID], [1]!Discount_tbl[Discount %], 0)</f>
        <v>0</v>
      </c>
      <c r="M88" s="4">
        <f>tbl_Sales[[#This Row],[discount]]/100</f>
        <v>0</v>
      </c>
      <c r="N88" s="11">
        <f>(1-tbl_Sales[[#This Row],[Discount Percentage]]) * tbl_Sales[[#This Row],[Net Revenue]]</f>
        <v>306</v>
      </c>
    </row>
    <row r="89" spans="1:14" x14ac:dyDescent="0.2">
      <c r="A89" s="4" t="s">
        <v>223</v>
      </c>
      <c r="B89" s="5">
        <v>45983</v>
      </c>
      <c r="C89" s="4" t="s">
        <v>21</v>
      </c>
      <c r="D89" s="4" t="s">
        <v>38</v>
      </c>
      <c r="E89" s="4" t="s">
        <v>15</v>
      </c>
      <c r="F89" s="4" t="s">
        <v>29</v>
      </c>
      <c r="G89" s="4" t="s">
        <v>30</v>
      </c>
      <c r="H89" s="4">
        <v>19</v>
      </c>
      <c r="I89" s="10">
        <v>76.5</v>
      </c>
      <c r="J89" s="4" t="s">
        <v>82</v>
      </c>
      <c r="K89" s="11">
        <f>tbl_Sales[[#This Row],[Units]] *tbl_Sales[[#This Row],[Unit Price]]</f>
        <v>1453.5</v>
      </c>
      <c r="L89" s="4">
        <f>_xlfn.XLOOKUP(tbl_Sales[[#This Row],[Order ID]], [1]!Discount_tbl[Order ID], [1]!Discount_tbl[Discount %], 0)</f>
        <v>0</v>
      </c>
      <c r="M89" s="4">
        <f>tbl_Sales[[#This Row],[discount]]/100</f>
        <v>0</v>
      </c>
      <c r="N89" s="11">
        <f>(1-tbl_Sales[[#This Row],[Discount Percentage]]) * tbl_Sales[[#This Row],[Net Revenue]]</f>
        <v>1453.5</v>
      </c>
    </row>
    <row r="90" spans="1:14" x14ac:dyDescent="0.2">
      <c r="A90" s="4" t="s">
        <v>224</v>
      </c>
      <c r="B90" s="5">
        <v>45962</v>
      </c>
      <c r="C90" s="4" t="s">
        <v>148</v>
      </c>
      <c r="D90" s="4" t="s">
        <v>60</v>
      </c>
      <c r="E90" s="4" t="s">
        <v>34</v>
      </c>
      <c r="F90" s="4" t="s">
        <v>102</v>
      </c>
      <c r="G90" s="4" t="s">
        <v>103</v>
      </c>
      <c r="H90" s="4">
        <v>19</v>
      </c>
      <c r="I90" s="10">
        <v>24.5</v>
      </c>
      <c r="J90" s="4" t="s">
        <v>35</v>
      </c>
      <c r="K90" s="11">
        <f>tbl_Sales[[#This Row],[Units]] *tbl_Sales[[#This Row],[Unit Price]]</f>
        <v>465.5</v>
      </c>
      <c r="L90" s="4">
        <f>_xlfn.XLOOKUP(tbl_Sales[[#This Row],[Order ID]], [1]!Discount_tbl[Order ID], [1]!Discount_tbl[Discount %], 0)</f>
        <v>0</v>
      </c>
      <c r="M90" s="4">
        <f>tbl_Sales[[#This Row],[discount]]/100</f>
        <v>0</v>
      </c>
      <c r="N90" s="11">
        <f>(1-tbl_Sales[[#This Row],[Discount Percentage]]) * tbl_Sales[[#This Row],[Net Revenue]]</f>
        <v>465.5</v>
      </c>
    </row>
    <row r="91" spans="1:14" x14ac:dyDescent="0.2">
      <c r="A91" s="4" t="s">
        <v>225</v>
      </c>
      <c r="B91" s="5">
        <v>45951</v>
      </c>
      <c r="C91" s="4" t="s">
        <v>226</v>
      </c>
      <c r="D91" s="4" t="s">
        <v>38</v>
      </c>
      <c r="E91" s="4" t="s">
        <v>23</v>
      </c>
      <c r="F91" s="4" t="s">
        <v>39</v>
      </c>
      <c r="G91" s="4" t="s">
        <v>40</v>
      </c>
      <c r="H91" s="4">
        <v>10</v>
      </c>
      <c r="I91" s="10">
        <v>44</v>
      </c>
      <c r="J91" s="4" t="s">
        <v>48</v>
      </c>
      <c r="K91" s="11">
        <f>tbl_Sales[[#This Row],[Units]] *tbl_Sales[[#This Row],[Unit Price]]</f>
        <v>440</v>
      </c>
      <c r="L91" s="4">
        <f>_xlfn.XLOOKUP(tbl_Sales[[#This Row],[Order ID]], [1]!Discount_tbl[Order ID], [1]!Discount_tbl[Discount %], 0)</f>
        <v>0</v>
      </c>
      <c r="M91" s="4">
        <f>tbl_Sales[[#This Row],[discount]]/100</f>
        <v>0</v>
      </c>
      <c r="N91" s="11">
        <f>(1-tbl_Sales[[#This Row],[Discount Percentage]]) * tbl_Sales[[#This Row],[Net Revenue]]</f>
        <v>440</v>
      </c>
    </row>
    <row r="92" spans="1:14" x14ac:dyDescent="0.2">
      <c r="A92" s="4" t="s">
        <v>227</v>
      </c>
      <c r="B92" s="5">
        <v>45935</v>
      </c>
      <c r="C92" s="4" t="s">
        <v>193</v>
      </c>
      <c r="D92" s="4" t="s">
        <v>43</v>
      </c>
      <c r="E92" s="4" t="s">
        <v>343</v>
      </c>
      <c r="F92" s="4" t="s">
        <v>29</v>
      </c>
      <c r="G92" s="4" t="s">
        <v>30</v>
      </c>
      <c r="H92" s="4">
        <v>9</v>
      </c>
      <c r="I92" s="10">
        <v>76.5</v>
      </c>
      <c r="J92" s="4" t="s">
        <v>82</v>
      </c>
      <c r="K92" s="11">
        <f>tbl_Sales[[#This Row],[Units]] *tbl_Sales[[#This Row],[Unit Price]]</f>
        <v>688.5</v>
      </c>
      <c r="L92" s="4">
        <f>_xlfn.XLOOKUP(tbl_Sales[[#This Row],[Order ID]], [1]!Discount_tbl[Order ID], [1]!Discount_tbl[Discount %], 0)</f>
        <v>0</v>
      </c>
      <c r="M92" s="4">
        <f>tbl_Sales[[#This Row],[discount]]/100</f>
        <v>0</v>
      </c>
      <c r="N92" s="11">
        <f>(1-tbl_Sales[[#This Row],[Discount Percentage]]) * tbl_Sales[[#This Row],[Net Revenue]]</f>
        <v>688.5</v>
      </c>
    </row>
    <row r="93" spans="1:14" x14ac:dyDescent="0.2">
      <c r="A93" s="4" t="s">
        <v>228</v>
      </c>
      <c r="B93" s="5">
        <v>46004</v>
      </c>
      <c r="C93" s="4" t="s">
        <v>78</v>
      </c>
      <c r="D93" s="4" t="s">
        <v>60</v>
      </c>
      <c r="E93" s="4" t="s">
        <v>15</v>
      </c>
      <c r="F93" s="4" t="s">
        <v>39</v>
      </c>
      <c r="G93" s="4" t="s">
        <v>40</v>
      </c>
      <c r="H93" s="4">
        <v>32</v>
      </c>
      <c r="I93" s="10">
        <v>44</v>
      </c>
      <c r="J93" s="4" t="s">
        <v>35</v>
      </c>
      <c r="K93" s="11">
        <f>tbl_Sales[[#This Row],[Units]] *tbl_Sales[[#This Row],[Unit Price]]</f>
        <v>1408</v>
      </c>
      <c r="L93" s="4">
        <f>_xlfn.XLOOKUP(tbl_Sales[[#This Row],[Order ID]], [1]!Discount_tbl[Order ID], [1]!Discount_tbl[Discount %], 0)</f>
        <v>0</v>
      </c>
      <c r="M93" s="4">
        <f>tbl_Sales[[#This Row],[discount]]/100</f>
        <v>0</v>
      </c>
      <c r="N93" s="11">
        <f>(1-tbl_Sales[[#This Row],[Discount Percentage]]) * tbl_Sales[[#This Row],[Net Revenue]]</f>
        <v>1408</v>
      </c>
    </row>
    <row r="94" spans="1:14" x14ac:dyDescent="0.2">
      <c r="A94" s="4" t="s">
        <v>229</v>
      </c>
      <c r="B94" s="5">
        <v>45948</v>
      </c>
      <c r="C94" s="4" t="s">
        <v>98</v>
      </c>
      <c r="D94" s="4" t="s">
        <v>38</v>
      </c>
      <c r="E94" s="4" t="s">
        <v>23</v>
      </c>
      <c r="F94" s="4" t="s">
        <v>24</v>
      </c>
      <c r="G94" s="4" t="s">
        <v>17</v>
      </c>
      <c r="H94" s="4">
        <v>2</v>
      </c>
      <c r="I94" s="10">
        <v>68</v>
      </c>
      <c r="J94" s="4" t="s">
        <v>48</v>
      </c>
      <c r="K94" s="11">
        <f>tbl_Sales[[#This Row],[Units]] *tbl_Sales[[#This Row],[Unit Price]]</f>
        <v>136</v>
      </c>
      <c r="L94" s="4">
        <f>_xlfn.XLOOKUP(tbl_Sales[[#This Row],[Order ID]], [1]!Discount_tbl[Order ID], [1]!Discount_tbl[Discount %], 0)</f>
        <v>0</v>
      </c>
      <c r="M94" s="4">
        <f>tbl_Sales[[#This Row],[discount]]/100</f>
        <v>0</v>
      </c>
      <c r="N94" s="11">
        <f>(1-tbl_Sales[[#This Row],[Discount Percentage]]) * tbl_Sales[[#This Row],[Net Revenue]]</f>
        <v>136</v>
      </c>
    </row>
    <row r="95" spans="1:14" x14ac:dyDescent="0.2">
      <c r="A95" s="4" t="s">
        <v>231</v>
      </c>
      <c r="B95" s="5">
        <v>46015</v>
      </c>
      <c r="C95" s="4" t="s">
        <v>164</v>
      </c>
      <c r="D95" s="4" t="s">
        <v>60</v>
      </c>
      <c r="E95" s="4" t="s">
        <v>343</v>
      </c>
      <c r="F95" s="4" t="s">
        <v>119</v>
      </c>
      <c r="G95" s="4" t="s">
        <v>30</v>
      </c>
      <c r="H95" s="4">
        <v>10</v>
      </c>
      <c r="I95" s="10">
        <v>189</v>
      </c>
      <c r="J95" s="4" t="s">
        <v>48</v>
      </c>
      <c r="K95" s="11">
        <f>tbl_Sales[[#This Row],[Units]] *tbl_Sales[[#This Row],[Unit Price]]</f>
        <v>1890</v>
      </c>
      <c r="L95" s="4">
        <f>_xlfn.XLOOKUP(tbl_Sales[[#This Row],[Order ID]], [1]!Discount_tbl[Order ID], [1]!Discount_tbl[Discount %], 0)</f>
        <v>0</v>
      </c>
      <c r="M95" s="4">
        <f>tbl_Sales[[#This Row],[discount]]/100</f>
        <v>0</v>
      </c>
      <c r="N95" s="11">
        <f>(1-tbl_Sales[[#This Row],[Discount Percentage]]) * tbl_Sales[[#This Row],[Net Revenue]]</f>
        <v>1890</v>
      </c>
    </row>
    <row r="96" spans="1:14" x14ac:dyDescent="0.2">
      <c r="A96" s="4" t="s">
        <v>232</v>
      </c>
      <c r="B96" s="5">
        <v>45989</v>
      </c>
      <c r="C96" s="4" t="s">
        <v>233</v>
      </c>
      <c r="D96" s="4" t="s">
        <v>38</v>
      </c>
      <c r="E96" s="4" t="s">
        <v>343</v>
      </c>
      <c r="F96" s="4" t="s">
        <v>39</v>
      </c>
      <c r="G96" s="4" t="s">
        <v>40</v>
      </c>
      <c r="H96" s="4">
        <v>18</v>
      </c>
      <c r="I96" s="10">
        <v>44</v>
      </c>
      <c r="J96" s="4" t="s">
        <v>35</v>
      </c>
      <c r="K96" s="11">
        <f>tbl_Sales[[#This Row],[Units]] *tbl_Sales[[#This Row],[Unit Price]]</f>
        <v>792</v>
      </c>
      <c r="L96" s="4">
        <f>_xlfn.XLOOKUP(tbl_Sales[[#This Row],[Order ID]], [1]!Discount_tbl[Order ID], [1]!Discount_tbl[Discount %], 0)</f>
        <v>10</v>
      </c>
      <c r="M96" s="4">
        <f>tbl_Sales[[#This Row],[discount]]/100</f>
        <v>0.1</v>
      </c>
      <c r="N96" s="11">
        <f>(1-tbl_Sales[[#This Row],[Discount Percentage]]) * tbl_Sales[[#This Row],[Net Revenue]]</f>
        <v>712.80000000000007</v>
      </c>
    </row>
    <row r="97" spans="1:14" x14ac:dyDescent="0.2">
      <c r="A97" s="4" t="s">
        <v>234</v>
      </c>
      <c r="B97" s="5">
        <v>45960</v>
      </c>
      <c r="C97" s="4" t="s">
        <v>42</v>
      </c>
      <c r="D97" s="4" t="s">
        <v>33</v>
      </c>
      <c r="E97" s="4" t="s">
        <v>28</v>
      </c>
      <c r="F97" s="4" t="s">
        <v>102</v>
      </c>
      <c r="G97" s="4" t="s">
        <v>103</v>
      </c>
      <c r="H97" s="4">
        <v>18</v>
      </c>
      <c r="I97" s="10">
        <v>24.5</v>
      </c>
      <c r="J97" s="4" t="s">
        <v>82</v>
      </c>
      <c r="K97" s="11">
        <f>tbl_Sales[[#This Row],[Units]] *tbl_Sales[[#This Row],[Unit Price]]</f>
        <v>441</v>
      </c>
      <c r="L97" s="4">
        <f>_xlfn.XLOOKUP(tbl_Sales[[#This Row],[Order ID]], [1]!Discount_tbl[Order ID], [1]!Discount_tbl[Discount %], 0)</f>
        <v>0</v>
      </c>
      <c r="M97" s="4">
        <f>tbl_Sales[[#This Row],[discount]]/100</f>
        <v>0</v>
      </c>
      <c r="N97" s="11">
        <f>(1-tbl_Sales[[#This Row],[Discount Percentage]]) * tbl_Sales[[#This Row],[Net Revenue]]</f>
        <v>441</v>
      </c>
    </row>
    <row r="98" spans="1:14" x14ac:dyDescent="0.2">
      <c r="A98" s="4" t="s">
        <v>235</v>
      </c>
      <c r="B98" s="5">
        <v>45972</v>
      </c>
      <c r="C98" s="4" t="s">
        <v>46</v>
      </c>
      <c r="D98" s="4" t="s">
        <v>33</v>
      </c>
      <c r="E98" s="4" t="s">
        <v>343</v>
      </c>
      <c r="F98" s="4" t="s">
        <v>24</v>
      </c>
      <c r="G98" s="4" t="s">
        <v>17</v>
      </c>
      <c r="H98" s="4">
        <v>35</v>
      </c>
      <c r="I98" s="10">
        <v>68</v>
      </c>
      <c r="J98" s="4" t="s">
        <v>25</v>
      </c>
      <c r="K98" s="11">
        <f>tbl_Sales[[#This Row],[Units]] *tbl_Sales[[#This Row],[Unit Price]]</f>
        <v>2380</v>
      </c>
      <c r="L98" s="4">
        <f>_xlfn.XLOOKUP(tbl_Sales[[#This Row],[Order ID]], [1]!Discount_tbl[Order ID], [1]!Discount_tbl[Discount %], 0)</f>
        <v>0</v>
      </c>
      <c r="M98" s="4">
        <f>tbl_Sales[[#This Row],[discount]]/100</f>
        <v>0</v>
      </c>
      <c r="N98" s="11">
        <f>(1-tbl_Sales[[#This Row],[Discount Percentage]]) * tbl_Sales[[#This Row],[Net Revenue]]</f>
        <v>2380</v>
      </c>
    </row>
    <row r="99" spans="1:14" x14ac:dyDescent="0.2">
      <c r="A99" s="4" t="s">
        <v>237</v>
      </c>
      <c r="B99" s="5">
        <v>45985</v>
      </c>
      <c r="C99" s="4" t="s">
        <v>57</v>
      </c>
      <c r="D99" s="4" t="s">
        <v>60</v>
      </c>
      <c r="E99" s="4" t="s">
        <v>15</v>
      </c>
      <c r="F99" s="4" t="s">
        <v>24</v>
      </c>
      <c r="G99" s="4" t="s">
        <v>17</v>
      </c>
      <c r="H99" s="4">
        <v>4</v>
      </c>
      <c r="I99" s="10">
        <v>68</v>
      </c>
      <c r="J99" s="4" t="s">
        <v>82</v>
      </c>
      <c r="K99" s="11">
        <f>tbl_Sales[[#This Row],[Units]] *tbl_Sales[[#This Row],[Unit Price]]</f>
        <v>272</v>
      </c>
      <c r="L99" s="4">
        <f>_xlfn.XLOOKUP(tbl_Sales[[#This Row],[Order ID]], [1]!Discount_tbl[Order ID], [1]!Discount_tbl[Discount %], 0)</f>
        <v>0</v>
      </c>
      <c r="M99" s="4">
        <f>tbl_Sales[[#This Row],[discount]]/100</f>
        <v>0</v>
      </c>
      <c r="N99" s="11">
        <f>(1-tbl_Sales[[#This Row],[Discount Percentage]]) * tbl_Sales[[#This Row],[Net Revenue]]</f>
        <v>272</v>
      </c>
    </row>
    <row r="100" spans="1:14" x14ac:dyDescent="0.2">
      <c r="A100" s="4" t="s">
        <v>238</v>
      </c>
      <c r="B100" s="5">
        <v>45974</v>
      </c>
      <c r="C100" s="4" t="s">
        <v>13</v>
      </c>
      <c r="D100" s="4" t="s">
        <v>60</v>
      </c>
      <c r="E100" s="4" t="s">
        <v>23</v>
      </c>
      <c r="F100" s="4" t="s">
        <v>39</v>
      </c>
      <c r="G100" s="4" t="s">
        <v>40</v>
      </c>
      <c r="H100" s="4">
        <v>40</v>
      </c>
      <c r="I100" s="10">
        <v>44</v>
      </c>
      <c r="J100" s="4" t="s">
        <v>35</v>
      </c>
      <c r="K100" s="11">
        <f>tbl_Sales[[#This Row],[Units]] *tbl_Sales[[#This Row],[Unit Price]]</f>
        <v>1760</v>
      </c>
      <c r="L100" s="4">
        <f>_xlfn.XLOOKUP(tbl_Sales[[#This Row],[Order ID]], [1]!Discount_tbl[Order ID], [1]!Discount_tbl[Discount %], 0)</f>
        <v>2.5</v>
      </c>
      <c r="M100" s="4">
        <f>tbl_Sales[[#This Row],[discount]]/100</f>
        <v>2.5000000000000001E-2</v>
      </c>
      <c r="N100" s="11">
        <f>(1-tbl_Sales[[#This Row],[Discount Percentage]]) * tbl_Sales[[#This Row],[Net Revenue]]</f>
        <v>1716</v>
      </c>
    </row>
    <row r="101" spans="1:14" x14ac:dyDescent="0.2">
      <c r="A101" s="4" t="s">
        <v>239</v>
      </c>
      <c r="B101" s="5">
        <v>45932</v>
      </c>
      <c r="C101" s="4" t="s">
        <v>95</v>
      </c>
      <c r="D101" s="4" t="s">
        <v>43</v>
      </c>
      <c r="E101" s="4" t="s">
        <v>63</v>
      </c>
      <c r="F101" s="4" t="s">
        <v>119</v>
      </c>
      <c r="G101" s="4" t="s">
        <v>30</v>
      </c>
      <c r="H101" s="4">
        <v>34</v>
      </c>
      <c r="I101" s="10">
        <v>189</v>
      </c>
      <c r="J101" s="4" t="s">
        <v>35</v>
      </c>
      <c r="K101" s="11">
        <f>tbl_Sales[[#This Row],[Units]] *tbl_Sales[[#This Row],[Unit Price]]</f>
        <v>6426</v>
      </c>
      <c r="L101" s="4">
        <f>_xlfn.XLOOKUP(tbl_Sales[[#This Row],[Order ID]], [1]!Discount_tbl[Order ID], [1]!Discount_tbl[Discount %], 0)</f>
        <v>0</v>
      </c>
      <c r="M101" s="4">
        <f>tbl_Sales[[#This Row],[discount]]/100</f>
        <v>0</v>
      </c>
      <c r="N101" s="11">
        <f>(1-tbl_Sales[[#This Row],[Discount Percentage]]) * tbl_Sales[[#This Row],[Net Revenue]]</f>
        <v>6426</v>
      </c>
    </row>
    <row r="102" spans="1:14" x14ac:dyDescent="0.2">
      <c r="A102" s="4" t="s">
        <v>240</v>
      </c>
      <c r="B102" s="5">
        <v>45951</v>
      </c>
      <c r="C102" s="4" t="s">
        <v>46</v>
      </c>
      <c r="D102" s="4" t="s">
        <v>38</v>
      </c>
      <c r="E102" s="4" t="s">
        <v>23</v>
      </c>
      <c r="F102" s="4" t="s">
        <v>68</v>
      </c>
      <c r="G102" s="4" t="s">
        <v>69</v>
      </c>
      <c r="H102" s="4">
        <v>7</v>
      </c>
      <c r="I102" s="10">
        <v>18.399999999999999</v>
      </c>
      <c r="J102" s="4" t="s">
        <v>35</v>
      </c>
      <c r="K102" s="11">
        <f>tbl_Sales[[#This Row],[Units]] *tbl_Sales[[#This Row],[Unit Price]]</f>
        <v>128.79999999999998</v>
      </c>
      <c r="L102" s="4">
        <f>_xlfn.XLOOKUP(tbl_Sales[[#This Row],[Order ID]], [1]!Discount_tbl[Order ID], [1]!Discount_tbl[Discount %], 0)</f>
        <v>0</v>
      </c>
      <c r="M102" s="4">
        <f>tbl_Sales[[#This Row],[discount]]/100</f>
        <v>0</v>
      </c>
      <c r="N102" s="11">
        <f>(1-tbl_Sales[[#This Row],[Discount Percentage]]) * tbl_Sales[[#This Row],[Net Revenue]]</f>
        <v>128.79999999999998</v>
      </c>
    </row>
    <row r="103" spans="1:14" x14ac:dyDescent="0.2">
      <c r="A103" s="4" t="s">
        <v>242</v>
      </c>
      <c r="B103" s="5">
        <v>45935</v>
      </c>
      <c r="C103" s="4" t="s">
        <v>87</v>
      </c>
      <c r="D103" s="4" t="s">
        <v>60</v>
      </c>
      <c r="E103" s="4" t="s">
        <v>15</v>
      </c>
      <c r="F103" s="4" t="s">
        <v>122</v>
      </c>
      <c r="G103" s="4" t="s">
        <v>69</v>
      </c>
      <c r="H103" s="4">
        <v>13</v>
      </c>
      <c r="I103" s="10">
        <v>12.25</v>
      </c>
      <c r="J103" s="4" t="s">
        <v>25</v>
      </c>
      <c r="K103" s="11">
        <f>tbl_Sales[[#This Row],[Units]] *tbl_Sales[[#This Row],[Unit Price]]</f>
        <v>159.25</v>
      </c>
      <c r="L103" s="4">
        <f>_xlfn.XLOOKUP(tbl_Sales[[#This Row],[Order ID]], [1]!Discount_tbl[Order ID], [1]!Discount_tbl[Discount %], 0)</f>
        <v>0</v>
      </c>
      <c r="M103" s="4">
        <f>tbl_Sales[[#This Row],[discount]]/100</f>
        <v>0</v>
      </c>
      <c r="N103" s="11">
        <f>(1-tbl_Sales[[#This Row],[Discount Percentage]]) * tbl_Sales[[#This Row],[Net Revenue]]</f>
        <v>159.25</v>
      </c>
    </row>
    <row r="104" spans="1:14" x14ac:dyDescent="0.2">
      <c r="A104" s="4" t="s">
        <v>244</v>
      </c>
      <c r="B104" s="5">
        <v>45939</v>
      </c>
      <c r="C104" s="4" t="s">
        <v>95</v>
      </c>
      <c r="D104" s="4" t="s">
        <v>60</v>
      </c>
      <c r="E104" s="4" t="s">
        <v>28</v>
      </c>
      <c r="F104" s="4" t="s">
        <v>47</v>
      </c>
      <c r="G104" s="4" t="s">
        <v>40</v>
      </c>
      <c r="H104" s="4">
        <v>25</v>
      </c>
      <c r="I104" s="10">
        <v>21.99</v>
      </c>
      <c r="J104" s="4" t="s">
        <v>19</v>
      </c>
      <c r="K104" s="11">
        <f>tbl_Sales[[#This Row],[Units]] *tbl_Sales[[#This Row],[Unit Price]]</f>
        <v>549.75</v>
      </c>
      <c r="L104" s="4">
        <f>_xlfn.XLOOKUP(tbl_Sales[[#This Row],[Order ID]], [1]!Discount_tbl[Order ID], [1]!Discount_tbl[Discount %], 0)</f>
        <v>0</v>
      </c>
      <c r="M104" s="4">
        <f>tbl_Sales[[#This Row],[discount]]/100</f>
        <v>0</v>
      </c>
      <c r="N104" s="11">
        <f>(1-tbl_Sales[[#This Row],[Discount Percentage]]) * tbl_Sales[[#This Row],[Net Revenue]]</f>
        <v>549.75</v>
      </c>
    </row>
    <row r="105" spans="1:14" x14ac:dyDescent="0.2">
      <c r="A105" s="4" t="s">
        <v>245</v>
      </c>
      <c r="B105" s="5">
        <v>45955</v>
      </c>
      <c r="C105" s="4" t="s">
        <v>182</v>
      </c>
      <c r="D105" s="4" t="s">
        <v>38</v>
      </c>
      <c r="E105" s="4" t="s">
        <v>343</v>
      </c>
      <c r="F105" s="4" t="s">
        <v>119</v>
      </c>
      <c r="G105" s="4" t="s">
        <v>30</v>
      </c>
      <c r="H105" s="4">
        <v>33</v>
      </c>
      <c r="I105" s="10">
        <v>189</v>
      </c>
      <c r="J105" s="4" t="s">
        <v>25</v>
      </c>
      <c r="K105" s="11">
        <f>tbl_Sales[[#This Row],[Units]] *tbl_Sales[[#This Row],[Unit Price]]</f>
        <v>6237</v>
      </c>
      <c r="L105" s="4">
        <f>_xlfn.XLOOKUP(tbl_Sales[[#This Row],[Order ID]], [1]!Discount_tbl[Order ID], [1]!Discount_tbl[Discount %], 0)</f>
        <v>10</v>
      </c>
      <c r="M105" s="4">
        <f>tbl_Sales[[#This Row],[discount]]/100</f>
        <v>0.1</v>
      </c>
      <c r="N105" s="11">
        <f>(1-tbl_Sales[[#This Row],[Discount Percentage]]) * tbl_Sales[[#This Row],[Net Revenue]]</f>
        <v>5613.3</v>
      </c>
    </row>
    <row r="106" spans="1:14" x14ac:dyDescent="0.2">
      <c r="A106" s="4" t="s">
        <v>246</v>
      </c>
      <c r="B106" s="5">
        <v>46006</v>
      </c>
      <c r="C106" s="4" t="s">
        <v>54</v>
      </c>
      <c r="D106" s="4" t="s">
        <v>43</v>
      </c>
      <c r="E106" s="4" t="s">
        <v>28</v>
      </c>
      <c r="F106" s="4" t="s">
        <v>47</v>
      </c>
      <c r="G106" s="4" t="s">
        <v>40</v>
      </c>
      <c r="H106" s="4">
        <v>9</v>
      </c>
      <c r="I106" s="10">
        <v>21.99</v>
      </c>
      <c r="J106" s="4" t="s">
        <v>19</v>
      </c>
      <c r="K106" s="11">
        <f>tbl_Sales[[#This Row],[Units]] *tbl_Sales[[#This Row],[Unit Price]]</f>
        <v>197.91</v>
      </c>
      <c r="L106" s="4">
        <f>_xlfn.XLOOKUP(tbl_Sales[[#This Row],[Order ID]], [1]!Discount_tbl[Order ID], [1]!Discount_tbl[Discount %], 0)</f>
        <v>0</v>
      </c>
      <c r="M106" s="4">
        <f>tbl_Sales[[#This Row],[discount]]/100</f>
        <v>0</v>
      </c>
      <c r="N106" s="11">
        <f>(1-tbl_Sales[[#This Row],[Discount Percentage]]) * tbl_Sales[[#This Row],[Net Revenue]]</f>
        <v>197.91</v>
      </c>
    </row>
    <row r="107" spans="1:14" x14ac:dyDescent="0.2">
      <c r="A107" s="4" t="s">
        <v>247</v>
      </c>
      <c r="B107" s="5">
        <v>45970</v>
      </c>
      <c r="C107" s="4" t="s">
        <v>54</v>
      </c>
      <c r="D107" s="4" t="s">
        <v>60</v>
      </c>
      <c r="E107" s="4" t="s">
        <v>343</v>
      </c>
      <c r="F107" s="4" t="s">
        <v>122</v>
      </c>
      <c r="G107" s="4" t="s">
        <v>69</v>
      </c>
      <c r="H107" s="4">
        <v>3</v>
      </c>
      <c r="I107" s="10">
        <v>12.25</v>
      </c>
      <c r="J107" s="4" t="s">
        <v>35</v>
      </c>
      <c r="K107" s="11">
        <f>tbl_Sales[[#This Row],[Units]] *tbl_Sales[[#This Row],[Unit Price]]</f>
        <v>36.75</v>
      </c>
      <c r="L107" s="4">
        <f>_xlfn.XLOOKUP(tbl_Sales[[#This Row],[Order ID]], [1]!Discount_tbl[Order ID], [1]!Discount_tbl[Discount %], 0)</f>
        <v>0</v>
      </c>
      <c r="M107" s="4">
        <f>tbl_Sales[[#This Row],[discount]]/100</f>
        <v>0</v>
      </c>
      <c r="N107" s="11">
        <f>(1-tbl_Sales[[#This Row],[Discount Percentage]]) * tbl_Sales[[#This Row],[Net Revenue]]</f>
        <v>36.75</v>
      </c>
    </row>
    <row r="108" spans="1:14" x14ac:dyDescent="0.2">
      <c r="A108" s="4" t="s">
        <v>248</v>
      </c>
      <c r="B108" s="5">
        <v>45978</v>
      </c>
      <c r="C108" s="4" t="s">
        <v>32</v>
      </c>
      <c r="D108" s="4" t="s">
        <v>33</v>
      </c>
      <c r="E108" s="4" t="s">
        <v>343</v>
      </c>
      <c r="F108" s="4" t="s">
        <v>68</v>
      </c>
      <c r="G108" s="4" t="s">
        <v>69</v>
      </c>
      <c r="H108" s="4">
        <v>25</v>
      </c>
      <c r="I108" s="10">
        <v>18.399999999999999</v>
      </c>
      <c r="J108" s="4" t="s">
        <v>25</v>
      </c>
      <c r="K108" s="11">
        <f>tbl_Sales[[#This Row],[Units]] *tbl_Sales[[#This Row],[Unit Price]]</f>
        <v>459.99999999999994</v>
      </c>
      <c r="L108" s="4">
        <f>_xlfn.XLOOKUP(tbl_Sales[[#This Row],[Order ID]], [1]!Discount_tbl[Order ID], [1]!Discount_tbl[Discount %], 0)</f>
        <v>0</v>
      </c>
      <c r="M108" s="4">
        <f>tbl_Sales[[#This Row],[discount]]/100</f>
        <v>0</v>
      </c>
      <c r="N108" s="11">
        <f>(1-tbl_Sales[[#This Row],[Discount Percentage]]) * tbl_Sales[[#This Row],[Net Revenue]]</f>
        <v>459.99999999999994</v>
      </c>
    </row>
    <row r="109" spans="1:14" x14ac:dyDescent="0.2">
      <c r="A109" s="4" t="s">
        <v>250</v>
      </c>
      <c r="B109" s="5">
        <v>45997</v>
      </c>
      <c r="C109" s="4" t="s">
        <v>109</v>
      </c>
      <c r="D109" s="4" t="s">
        <v>33</v>
      </c>
      <c r="E109" s="4" t="s">
        <v>63</v>
      </c>
      <c r="F109" s="4" t="s">
        <v>119</v>
      </c>
      <c r="G109" s="4" t="s">
        <v>30</v>
      </c>
      <c r="H109" s="4">
        <v>12</v>
      </c>
      <c r="I109" s="10">
        <v>189</v>
      </c>
      <c r="J109" s="4" t="s">
        <v>19</v>
      </c>
      <c r="K109" s="11">
        <f>tbl_Sales[[#This Row],[Units]] *tbl_Sales[[#This Row],[Unit Price]]</f>
        <v>2268</v>
      </c>
      <c r="L109" s="4">
        <f>_xlfn.XLOOKUP(tbl_Sales[[#This Row],[Order ID]], [1]!Discount_tbl[Order ID], [1]!Discount_tbl[Discount %], 0)</f>
        <v>0</v>
      </c>
      <c r="M109" s="4">
        <f>tbl_Sales[[#This Row],[discount]]/100</f>
        <v>0</v>
      </c>
      <c r="N109" s="11">
        <f>(1-tbl_Sales[[#This Row],[Discount Percentage]]) * tbl_Sales[[#This Row],[Net Revenue]]</f>
        <v>2268</v>
      </c>
    </row>
    <row r="110" spans="1:14" x14ac:dyDescent="0.2">
      <c r="A110" s="4" t="s">
        <v>251</v>
      </c>
      <c r="B110" s="5">
        <v>46009</v>
      </c>
      <c r="C110" s="4" t="s">
        <v>87</v>
      </c>
      <c r="D110" s="4" t="s">
        <v>43</v>
      </c>
      <c r="E110" s="4" t="s">
        <v>23</v>
      </c>
      <c r="F110" s="4" t="s">
        <v>47</v>
      </c>
      <c r="G110" s="4" t="s">
        <v>40</v>
      </c>
      <c r="H110" s="4">
        <v>24</v>
      </c>
      <c r="I110" s="10">
        <v>21.99</v>
      </c>
      <c r="J110" s="4" t="s">
        <v>48</v>
      </c>
      <c r="K110" s="11">
        <f>tbl_Sales[[#This Row],[Units]] *tbl_Sales[[#This Row],[Unit Price]]</f>
        <v>527.76</v>
      </c>
      <c r="L110" s="4">
        <f>_xlfn.XLOOKUP(tbl_Sales[[#This Row],[Order ID]], [1]!Discount_tbl[Order ID], [1]!Discount_tbl[Discount %], 0)</f>
        <v>5</v>
      </c>
      <c r="M110" s="4">
        <f>tbl_Sales[[#This Row],[discount]]/100</f>
        <v>0.05</v>
      </c>
      <c r="N110" s="11">
        <f>(1-tbl_Sales[[#This Row],[Discount Percentage]]) * tbl_Sales[[#This Row],[Net Revenue]]</f>
        <v>501.37199999999996</v>
      </c>
    </row>
    <row r="111" spans="1:14" x14ac:dyDescent="0.2">
      <c r="A111" s="4" t="s">
        <v>252</v>
      </c>
      <c r="B111" s="5">
        <v>46008</v>
      </c>
      <c r="C111" s="4" t="s">
        <v>215</v>
      </c>
      <c r="D111" s="4" t="s">
        <v>33</v>
      </c>
      <c r="E111" s="4" t="s">
        <v>63</v>
      </c>
      <c r="F111" s="4" t="s">
        <v>51</v>
      </c>
      <c r="G111" s="4" t="s">
        <v>30</v>
      </c>
      <c r="H111" s="4">
        <v>23</v>
      </c>
      <c r="I111" s="10">
        <v>340</v>
      </c>
      <c r="J111" s="4" t="s">
        <v>19</v>
      </c>
      <c r="K111" s="11">
        <f>tbl_Sales[[#This Row],[Units]] *tbl_Sales[[#This Row],[Unit Price]]</f>
        <v>7820</v>
      </c>
      <c r="L111" s="4">
        <f>_xlfn.XLOOKUP(tbl_Sales[[#This Row],[Order ID]], [1]!Discount_tbl[Order ID], [1]!Discount_tbl[Discount %], 0)</f>
        <v>0</v>
      </c>
      <c r="M111" s="4">
        <f>tbl_Sales[[#This Row],[discount]]/100</f>
        <v>0</v>
      </c>
      <c r="N111" s="11">
        <f>(1-tbl_Sales[[#This Row],[Discount Percentage]]) * tbl_Sales[[#This Row],[Net Revenue]]</f>
        <v>7820</v>
      </c>
    </row>
    <row r="112" spans="1:14" x14ac:dyDescent="0.2">
      <c r="A112" s="4" t="s">
        <v>253</v>
      </c>
      <c r="B112" s="5">
        <v>45937</v>
      </c>
      <c r="C112" s="4" t="s">
        <v>75</v>
      </c>
      <c r="D112" s="4" t="s">
        <v>60</v>
      </c>
      <c r="E112" s="4" t="s">
        <v>28</v>
      </c>
      <c r="F112" s="4" t="s">
        <v>102</v>
      </c>
      <c r="G112" s="4" t="s">
        <v>103</v>
      </c>
      <c r="H112" s="4">
        <v>13</v>
      </c>
      <c r="I112" s="10">
        <v>24.5</v>
      </c>
      <c r="J112" s="4" t="s">
        <v>25</v>
      </c>
      <c r="K112" s="11">
        <f>tbl_Sales[[#This Row],[Units]] *tbl_Sales[[#This Row],[Unit Price]]</f>
        <v>318.5</v>
      </c>
      <c r="L112" s="4">
        <f>_xlfn.XLOOKUP(tbl_Sales[[#This Row],[Order ID]], [1]!Discount_tbl[Order ID], [1]!Discount_tbl[Discount %], 0)</f>
        <v>0</v>
      </c>
      <c r="M112" s="4">
        <f>tbl_Sales[[#This Row],[discount]]/100</f>
        <v>0</v>
      </c>
      <c r="N112" s="11">
        <f>(1-tbl_Sales[[#This Row],[Discount Percentage]]) * tbl_Sales[[#This Row],[Net Revenue]]</f>
        <v>318.5</v>
      </c>
    </row>
    <row r="113" spans="1:14" x14ac:dyDescent="0.2">
      <c r="A113" s="4" t="s">
        <v>254</v>
      </c>
      <c r="B113" s="5">
        <v>45945</v>
      </c>
      <c r="C113" s="4" t="s">
        <v>57</v>
      </c>
      <c r="D113" s="4" t="s">
        <v>38</v>
      </c>
      <c r="E113" s="4" t="s">
        <v>63</v>
      </c>
      <c r="F113" s="4" t="s">
        <v>47</v>
      </c>
      <c r="G113" s="4" t="s">
        <v>40</v>
      </c>
      <c r="H113" s="4">
        <v>34</v>
      </c>
      <c r="I113" s="10">
        <v>21.99</v>
      </c>
      <c r="J113" s="4" t="s">
        <v>82</v>
      </c>
      <c r="K113" s="11">
        <f>tbl_Sales[[#This Row],[Units]] *tbl_Sales[[#This Row],[Unit Price]]</f>
        <v>747.66</v>
      </c>
      <c r="L113" s="4">
        <f>_xlfn.XLOOKUP(tbl_Sales[[#This Row],[Order ID]], [1]!Discount_tbl[Order ID], [1]!Discount_tbl[Discount %], 0)</f>
        <v>0</v>
      </c>
      <c r="M113" s="4">
        <f>tbl_Sales[[#This Row],[discount]]/100</f>
        <v>0</v>
      </c>
      <c r="N113" s="11">
        <f>(1-tbl_Sales[[#This Row],[Discount Percentage]]) * tbl_Sales[[#This Row],[Net Revenue]]</f>
        <v>747.66</v>
      </c>
    </row>
    <row r="114" spans="1:14" x14ac:dyDescent="0.2">
      <c r="A114" s="4" t="s">
        <v>255</v>
      </c>
      <c r="B114" s="5">
        <v>45957</v>
      </c>
      <c r="C114" s="4" t="s">
        <v>95</v>
      </c>
      <c r="D114" s="4" t="s">
        <v>60</v>
      </c>
      <c r="E114" s="4" t="s">
        <v>15</v>
      </c>
      <c r="F114" s="4" t="s">
        <v>29</v>
      </c>
      <c r="G114" s="4" t="s">
        <v>30</v>
      </c>
      <c r="H114" s="4">
        <v>3</v>
      </c>
      <c r="I114" s="10">
        <v>76.5</v>
      </c>
      <c r="J114" s="4" t="s">
        <v>82</v>
      </c>
      <c r="K114" s="11">
        <f>tbl_Sales[[#This Row],[Units]] *tbl_Sales[[#This Row],[Unit Price]]</f>
        <v>229.5</v>
      </c>
      <c r="L114" s="4">
        <f>_xlfn.XLOOKUP(tbl_Sales[[#This Row],[Order ID]], [1]!Discount_tbl[Order ID], [1]!Discount_tbl[Discount %], 0)</f>
        <v>0</v>
      </c>
      <c r="M114" s="4">
        <f>tbl_Sales[[#This Row],[discount]]/100</f>
        <v>0</v>
      </c>
      <c r="N114" s="11">
        <f>(1-tbl_Sales[[#This Row],[Discount Percentage]]) * tbl_Sales[[#This Row],[Net Revenue]]</f>
        <v>229.5</v>
      </c>
    </row>
    <row r="115" spans="1:14" x14ac:dyDescent="0.2">
      <c r="A115" s="4" t="s">
        <v>257</v>
      </c>
      <c r="B115" s="5">
        <v>45950</v>
      </c>
      <c r="C115" s="4" t="s">
        <v>95</v>
      </c>
      <c r="D115" s="4" t="s">
        <v>60</v>
      </c>
      <c r="E115" s="4" t="s">
        <v>23</v>
      </c>
      <c r="F115" s="4" t="s">
        <v>122</v>
      </c>
      <c r="G115" s="4" t="s">
        <v>69</v>
      </c>
      <c r="H115" s="4">
        <v>25</v>
      </c>
      <c r="I115" s="10">
        <v>12.25</v>
      </c>
      <c r="J115" s="4" t="s">
        <v>19</v>
      </c>
      <c r="K115" s="11">
        <f>tbl_Sales[[#This Row],[Units]] *tbl_Sales[[#This Row],[Unit Price]]</f>
        <v>306.25</v>
      </c>
      <c r="L115" s="4">
        <f>_xlfn.XLOOKUP(tbl_Sales[[#This Row],[Order ID]], [1]!Discount_tbl[Order ID], [1]!Discount_tbl[Discount %], 0)</f>
        <v>0</v>
      </c>
      <c r="M115" s="4">
        <f>tbl_Sales[[#This Row],[discount]]/100</f>
        <v>0</v>
      </c>
      <c r="N115" s="11">
        <f>(1-tbl_Sales[[#This Row],[Discount Percentage]]) * tbl_Sales[[#This Row],[Net Revenue]]</f>
        <v>306.25</v>
      </c>
    </row>
    <row r="116" spans="1:14" x14ac:dyDescent="0.2">
      <c r="A116" s="4" t="s">
        <v>258</v>
      </c>
      <c r="B116" s="5">
        <v>45998</v>
      </c>
      <c r="C116" s="4" t="s">
        <v>37</v>
      </c>
      <c r="D116" s="4" t="s">
        <v>33</v>
      </c>
      <c r="E116" s="4" t="s">
        <v>15</v>
      </c>
      <c r="F116" s="4" t="s">
        <v>29</v>
      </c>
      <c r="G116" s="4" t="s">
        <v>30</v>
      </c>
      <c r="H116" s="4">
        <v>26</v>
      </c>
      <c r="I116" s="10">
        <v>76.5</v>
      </c>
      <c r="J116" s="4" t="s">
        <v>48</v>
      </c>
      <c r="K116" s="11">
        <f>tbl_Sales[[#This Row],[Units]] *tbl_Sales[[#This Row],[Unit Price]]</f>
        <v>1989</v>
      </c>
      <c r="L116" s="4">
        <f>_xlfn.XLOOKUP(tbl_Sales[[#This Row],[Order ID]], [1]!Discount_tbl[Order ID], [1]!Discount_tbl[Discount %], 0)</f>
        <v>0</v>
      </c>
      <c r="M116" s="4">
        <f>tbl_Sales[[#This Row],[discount]]/100</f>
        <v>0</v>
      </c>
      <c r="N116" s="11">
        <f>(1-tbl_Sales[[#This Row],[Discount Percentage]]) * tbl_Sales[[#This Row],[Net Revenue]]</f>
        <v>1989</v>
      </c>
    </row>
    <row r="117" spans="1:14" x14ac:dyDescent="0.2">
      <c r="A117" s="4" t="s">
        <v>260</v>
      </c>
      <c r="B117" s="5">
        <v>45994</v>
      </c>
      <c r="C117" s="4" t="s">
        <v>95</v>
      </c>
      <c r="D117" s="4" t="s">
        <v>60</v>
      </c>
      <c r="E117" s="4" t="s">
        <v>34</v>
      </c>
      <c r="F117" s="4" t="s">
        <v>16</v>
      </c>
      <c r="G117" s="4" t="s">
        <v>17</v>
      </c>
      <c r="H117" s="4">
        <v>19</v>
      </c>
      <c r="I117" s="10">
        <v>94.75</v>
      </c>
      <c r="J117" s="4" t="s">
        <v>35</v>
      </c>
      <c r="K117" s="11">
        <f>tbl_Sales[[#This Row],[Units]] *tbl_Sales[[#This Row],[Unit Price]]</f>
        <v>1800.25</v>
      </c>
      <c r="L117" s="4">
        <f>_xlfn.XLOOKUP(tbl_Sales[[#This Row],[Order ID]], [1]!Discount_tbl[Order ID], [1]!Discount_tbl[Discount %], 0)</f>
        <v>0</v>
      </c>
      <c r="M117" s="4">
        <f>tbl_Sales[[#This Row],[discount]]/100</f>
        <v>0</v>
      </c>
      <c r="N117" s="11">
        <f>(1-tbl_Sales[[#This Row],[Discount Percentage]]) * tbl_Sales[[#This Row],[Net Revenue]]</f>
        <v>1800.25</v>
      </c>
    </row>
    <row r="118" spans="1:14" x14ac:dyDescent="0.2">
      <c r="A118" s="4" t="s">
        <v>261</v>
      </c>
      <c r="B118" s="5">
        <v>46007</v>
      </c>
      <c r="C118" s="4" t="s">
        <v>46</v>
      </c>
      <c r="D118" s="4" t="s">
        <v>60</v>
      </c>
      <c r="E118" s="4" t="s">
        <v>343</v>
      </c>
      <c r="F118" s="4" t="s">
        <v>39</v>
      </c>
      <c r="G118" s="4" t="s">
        <v>40</v>
      </c>
      <c r="H118" s="4">
        <v>37</v>
      </c>
      <c r="I118" s="10">
        <v>44</v>
      </c>
      <c r="J118" s="4" t="s">
        <v>19</v>
      </c>
      <c r="K118" s="11">
        <f>tbl_Sales[[#This Row],[Units]] *tbl_Sales[[#This Row],[Unit Price]]</f>
        <v>1628</v>
      </c>
      <c r="L118" s="4">
        <f>_xlfn.XLOOKUP(tbl_Sales[[#This Row],[Order ID]], [1]!Discount_tbl[Order ID], [1]!Discount_tbl[Discount %], 0)</f>
        <v>0</v>
      </c>
      <c r="M118" s="4">
        <f>tbl_Sales[[#This Row],[discount]]/100</f>
        <v>0</v>
      </c>
      <c r="N118" s="11">
        <f>(1-tbl_Sales[[#This Row],[Discount Percentage]]) * tbl_Sales[[#This Row],[Net Revenue]]</f>
        <v>1628</v>
      </c>
    </row>
    <row r="119" spans="1:14" x14ac:dyDescent="0.2">
      <c r="A119" s="4" t="s">
        <v>263</v>
      </c>
      <c r="B119" s="5">
        <v>45961</v>
      </c>
      <c r="C119" s="4" t="s">
        <v>265</v>
      </c>
      <c r="D119" s="4" t="s">
        <v>33</v>
      </c>
      <c r="E119" s="4" t="s">
        <v>63</v>
      </c>
      <c r="F119" s="4" t="s">
        <v>122</v>
      </c>
      <c r="G119" s="4" t="s">
        <v>69</v>
      </c>
      <c r="H119" s="4">
        <v>7</v>
      </c>
      <c r="I119" s="10">
        <v>12.25</v>
      </c>
      <c r="J119" s="4" t="s">
        <v>25</v>
      </c>
      <c r="K119" s="11">
        <f>tbl_Sales[[#This Row],[Units]] *tbl_Sales[[#This Row],[Unit Price]]</f>
        <v>85.75</v>
      </c>
      <c r="L119" s="4">
        <f>_xlfn.XLOOKUP(tbl_Sales[[#This Row],[Order ID]], [1]!Discount_tbl[Order ID], [1]!Discount_tbl[Discount %], 0)</f>
        <v>0</v>
      </c>
      <c r="M119" s="4">
        <f>tbl_Sales[[#This Row],[discount]]/100</f>
        <v>0</v>
      </c>
      <c r="N119" s="11">
        <f>(1-tbl_Sales[[#This Row],[Discount Percentage]]) * tbl_Sales[[#This Row],[Net Revenue]]</f>
        <v>85.75</v>
      </c>
    </row>
    <row r="120" spans="1:14" x14ac:dyDescent="0.2">
      <c r="A120" s="4" t="s">
        <v>266</v>
      </c>
      <c r="B120" s="5">
        <v>45980</v>
      </c>
      <c r="C120" s="4" t="s">
        <v>75</v>
      </c>
      <c r="D120" s="4" t="s">
        <v>33</v>
      </c>
      <c r="E120" s="4" t="s">
        <v>15</v>
      </c>
      <c r="F120" s="4" t="s">
        <v>102</v>
      </c>
      <c r="G120" s="4" t="s">
        <v>103</v>
      </c>
      <c r="H120" s="4">
        <v>9</v>
      </c>
      <c r="I120" s="10">
        <v>24.5</v>
      </c>
      <c r="J120" s="4" t="s">
        <v>48</v>
      </c>
      <c r="K120" s="11">
        <f>tbl_Sales[[#This Row],[Units]] *tbl_Sales[[#This Row],[Unit Price]]</f>
        <v>220.5</v>
      </c>
      <c r="L120" s="4">
        <f>_xlfn.XLOOKUP(tbl_Sales[[#This Row],[Order ID]], [1]!Discount_tbl[Order ID], [1]!Discount_tbl[Discount %], 0)</f>
        <v>5</v>
      </c>
      <c r="M120" s="4">
        <f>tbl_Sales[[#This Row],[discount]]/100</f>
        <v>0.05</v>
      </c>
      <c r="N120" s="11">
        <f>(1-tbl_Sales[[#This Row],[Discount Percentage]]) * tbl_Sales[[#This Row],[Net Revenue]]</f>
        <v>209.47499999999999</v>
      </c>
    </row>
    <row r="121" spans="1:14" x14ac:dyDescent="0.2">
      <c r="A121" s="4" t="s">
        <v>268</v>
      </c>
      <c r="B121" s="5">
        <v>45990</v>
      </c>
      <c r="C121" s="4" t="s">
        <v>32</v>
      </c>
      <c r="D121" s="4" t="s">
        <v>43</v>
      </c>
      <c r="E121" s="4" t="s">
        <v>15</v>
      </c>
      <c r="F121" s="4" t="s">
        <v>119</v>
      </c>
      <c r="G121" s="4" t="s">
        <v>30</v>
      </c>
      <c r="H121" s="4">
        <v>18</v>
      </c>
      <c r="I121" s="10">
        <v>189</v>
      </c>
      <c r="J121" s="4" t="s">
        <v>82</v>
      </c>
      <c r="K121" s="11">
        <f>tbl_Sales[[#This Row],[Units]] *tbl_Sales[[#This Row],[Unit Price]]</f>
        <v>3402</v>
      </c>
      <c r="L121" s="4">
        <f>_xlfn.XLOOKUP(tbl_Sales[[#This Row],[Order ID]], [1]!Discount_tbl[Order ID], [1]!Discount_tbl[Discount %], 0)</f>
        <v>0</v>
      </c>
      <c r="M121" s="4">
        <f>tbl_Sales[[#This Row],[discount]]/100</f>
        <v>0</v>
      </c>
      <c r="N121" s="11">
        <f>(1-tbl_Sales[[#This Row],[Discount Percentage]]) * tbl_Sales[[#This Row],[Net Revenue]]</f>
        <v>3402</v>
      </c>
    </row>
    <row r="122" spans="1:14" x14ac:dyDescent="0.2">
      <c r="A122" s="4" t="s">
        <v>269</v>
      </c>
      <c r="B122" s="5">
        <v>45988</v>
      </c>
      <c r="C122" s="4" t="s">
        <v>32</v>
      </c>
      <c r="D122" s="4" t="s">
        <v>33</v>
      </c>
      <c r="E122" s="4" t="s">
        <v>23</v>
      </c>
      <c r="F122" s="4" t="s">
        <v>24</v>
      </c>
      <c r="G122" s="4" t="s">
        <v>17</v>
      </c>
      <c r="H122" s="4">
        <v>38</v>
      </c>
      <c r="I122" s="10">
        <v>68</v>
      </c>
      <c r="J122" s="4" t="s">
        <v>35</v>
      </c>
      <c r="K122" s="11">
        <f>tbl_Sales[[#This Row],[Units]] *tbl_Sales[[#This Row],[Unit Price]]</f>
        <v>2584</v>
      </c>
      <c r="L122" s="4">
        <f>_xlfn.XLOOKUP(tbl_Sales[[#This Row],[Order ID]], [1]!Discount_tbl[Order ID], [1]!Discount_tbl[Discount %], 0)</f>
        <v>0</v>
      </c>
      <c r="M122" s="4">
        <f>tbl_Sales[[#This Row],[discount]]/100</f>
        <v>0</v>
      </c>
      <c r="N122" s="11">
        <f>(1-tbl_Sales[[#This Row],[Discount Percentage]]) * tbl_Sales[[#This Row],[Net Revenue]]</f>
        <v>2584</v>
      </c>
    </row>
    <row r="123" spans="1:14" x14ac:dyDescent="0.2">
      <c r="A123" s="4" t="s">
        <v>270</v>
      </c>
      <c r="B123" s="5">
        <v>45935</v>
      </c>
      <c r="C123" s="4" t="s">
        <v>271</v>
      </c>
      <c r="D123" s="4" t="s">
        <v>60</v>
      </c>
      <c r="E123" s="4" t="s">
        <v>63</v>
      </c>
      <c r="F123" s="4" t="s">
        <v>24</v>
      </c>
      <c r="G123" s="4" t="s">
        <v>17</v>
      </c>
      <c r="H123" s="4">
        <v>39</v>
      </c>
      <c r="I123" s="10">
        <v>68</v>
      </c>
      <c r="J123" s="4" t="s">
        <v>35</v>
      </c>
      <c r="K123" s="11">
        <f>tbl_Sales[[#This Row],[Units]] *tbl_Sales[[#This Row],[Unit Price]]</f>
        <v>2652</v>
      </c>
      <c r="L123" s="4">
        <f>_xlfn.XLOOKUP(tbl_Sales[[#This Row],[Order ID]], [1]!Discount_tbl[Order ID], [1]!Discount_tbl[Discount %], 0)</f>
        <v>0</v>
      </c>
      <c r="M123" s="4">
        <f>tbl_Sales[[#This Row],[discount]]/100</f>
        <v>0</v>
      </c>
      <c r="N123" s="11">
        <f>(1-tbl_Sales[[#This Row],[Discount Percentage]]) * tbl_Sales[[#This Row],[Net Revenue]]</f>
        <v>2652</v>
      </c>
    </row>
    <row r="124" spans="1:14" x14ac:dyDescent="0.2">
      <c r="A124" s="4" t="s">
        <v>273</v>
      </c>
      <c r="B124" s="5">
        <v>45997</v>
      </c>
      <c r="C124" s="4" t="s">
        <v>37</v>
      </c>
      <c r="D124" s="4" t="s">
        <v>33</v>
      </c>
      <c r="E124" s="4" t="s">
        <v>28</v>
      </c>
      <c r="F124" s="4" t="s">
        <v>51</v>
      </c>
      <c r="G124" s="4" t="s">
        <v>30</v>
      </c>
      <c r="H124" s="4">
        <v>8</v>
      </c>
      <c r="I124" s="10">
        <v>340</v>
      </c>
      <c r="J124" s="4" t="s">
        <v>19</v>
      </c>
      <c r="K124" s="11">
        <f>tbl_Sales[[#This Row],[Units]] *tbl_Sales[[#This Row],[Unit Price]]</f>
        <v>2720</v>
      </c>
      <c r="L124" s="4">
        <f>_xlfn.XLOOKUP(tbl_Sales[[#This Row],[Order ID]], [1]!Discount_tbl[Order ID], [1]!Discount_tbl[Discount %], 0)</f>
        <v>0</v>
      </c>
      <c r="M124" s="4">
        <f>tbl_Sales[[#This Row],[discount]]/100</f>
        <v>0</v>
      </c>
      <c r="N124" s="11">
        <f>(1-tbl_Sales[[#This Row],[Discount Percentage]]) * tbl_Sales[[#This Row],[Net Revenue]]</f>
        <v>2720</v>
      </c>
    </row>
    <row r="125" spans="1:14" x14ac:dyDescent="0.2">
      <c r="A125" s="4" t="s">
        <v>274</v>
      </c>
      <c r="B125" s="5">
        <v>45987</v>
      </c>
      <c r="C125" s="4" t="s">
        <v>46</v>
      </c>
      <c r="D125" s="4" t="s">
        <v>38</v>
      </c>
      <c r="E125" s="4" t="s">
        <v>343</v>
      </c>
      <c r="F125" s="4" t="s">
        <v>102</v>
      </c>
      <c r="G125" s="4" t="s">
        <v>103</v>
      </c>
      <c r="H125" s="4">
        <v>7</v>
      </c>
      <c r="I125" s="10">
        <v>24.5</v>
      </c>
      <c r="J125" s="4" t="s">
        <v>48</v>
      </c>
      <c r="K125" s="11">
        <f>tbl_Sales[[#This Row],[Units]] *tbl_Sales[[#This Row],[Unit Price]]</f>
        <v>171.5</v>
      </c>
      <c r="L125" s="4">
        <f>_xlfn.XLOOKUP(tbl_Sales[[#This Row],[Order ID]], [1]!Discount_tbl[Order ID], [1]!Discount_tbl[Discount %], 0)</f>
        <v>15</v>
      </c>
      <c r="M125" s="4">
        <f>tbl_Sales[[#This Row],[discount]]/100</f>
        <v>0.15</v>
      </c>
      <c r="N125" s="11">
        <f>(1-tbl_Sales[[#This Row],[Discount Percentage]]) * tbl_Sales[[#This Row],[Net Revenue]]</f>
        <v>145.77500000000001</v>
      </c>
    </row>
    <row r="126" spans="1:14" x14ac:dyDescent="0.2">
      <c r="A126" s="4" t="s">
        <v>276</v>
      </c>
      <c r="B126" s="5">
        <v>45960</v>
      </c>
      <c r="C126" s="4" t="s">
        <v>113</v>
      </c>
      <c r="D126" s="4" t="s">
        <v>43</v>
      </c>
      <c r="E126" s="4" t="s">
        <v>15</v>
      </c>
      <c r="F126" s="4" t="s">
        <v>24</v>
      </c>
      <c r="G126" s="4" t="s">
        <v>17</v>
      </c>
      <c r="H126" s="4">
        <v>40</v>
      </c>
      <c r="I126" s="10">
        <v>68</v>
      </c>
      <c r="J126" s="4" t="s">
        <v>19</v>
      </c>
      <c r="K126" s="11">
        <f>tbl_Sales[[#This Row],[Units]] *tbl_Sales[[#This Row],[Unit Price]]</f>
        <v>2720</v>
      </c>
      <c r="L126" s="4">
        <f>_xlfn.XLOOKUP(tbl_Sales[[#This Row],[Order ID]], [1]!Discount_tbl[Order ID], [1]!Discount_tbl[Discount %], 0)</f>
        <v>0</v>
      </c>
      <c r="M126" s="4">
        <f>tbl_Sales[[#This Row],[discount]]/100</f>
        <v>0</v>
      </c>
      <c r="N126" s="11">
        <f>(1-tbl_Sales[[#This Row],[Discount Percentage]]) * tbl_Sales[[#This Row],[Net Revenue]]</f>
        <v>2720</v>
      </c>
    </row>
    <row r="127" spans="1:14" x14ac:dyDescent="0.2">
      <c r="A127" s="4" t="s">
        <v>277</v>
      </c>
      <c r="B127" s="5">
        <v>46007</v>
      </c>
      <c r="C127" s="4" t="s">
        <v>121</v>
      </c>
      <c r="D127" s="4" t="s">
        <v>43</v>
      </c>
      <c r="E127" s="4" t="s">
        <v>15</v>
      </c>
      <c r="F127" s="4" t="s">
        <v>122</v>
      </c>
      <c r="G127" s="4" t="s">
        <v>69</v>
      </c>
      <c r="H127" s="4">
        <v>24</v>
      </c>
      <c r="I127" s="10">
        <v>12.25</v>
      </c>
      <c r="J127" s="4" t="s">
        <v>19</v>
      </c>
      <c r="K127" s="11">
        <f>tbl_Sales[[#This Row],[Units]] *tbl_Sales[[#This Row],[Unit Price]]</f>
        <v>294</v>
      </c>
      <c r="L127" s="4">
        <f>_xlfn.XLOOKUP(tbl_Sales[[#This Row],[Order ID]], [1]!Discount_tbl[Order ID], [1]!Discount_tbl[Discount %], 0)</f>
        <v>0</v>
      </c>
      <c r="M127" s="4">
        <f>tbl_Sales[[#This Row],[discount]]/100</f>
        <v>0</v>
      </c>
      <c r="N127" s="11">
        <f>(1-tbl_Sales[[#This Row],[Discount Percentage]]) * tbl_Sales[[#This Row],[Net Revenue]]</f>
        <v>294</v>
      </c>
    </row>
    <row r="128" spans="1:14" x14ac:dyDescent="0.2">
      <c r="A128" s="4" t="s">
        <v>278</v>
      </c>
      <c r="B128" s="5">
        <v>45951</v>
      </c>
      <c r="C128" s="4" t="s">
        <v>32</v>
      </c>
      <c r="D128" s="4" t="s">
        <v>38</v>
      </c>
      <c r="E128" s="4" t="s">
        <v>23</v>
      </c>
      <c r="F128" s="4" t="s">
        <v>51</v>
      </c>
      <c r="G128" s="4" t="s">
        <v>30</v>
      </c>
      <c r="H128" s="4">
        <v>20</v>
      </c>
      <c r="I128" s="10">
        <v>340</v>
      </c>
      <c r="J128" s="4" t="s">
        <v>35</v>
      </c>
      <c r="K128" s="11">
        <f>tbl_Sales[[#This Row],[Units]] *tbl_Sales[[#This Row],[Unit Price]]</f>
        <v>6800</v>
      </c>
      <c r="L128" s="4">
        <f>_xlfn.XLOOKUP(tbl_Sales[[#This Row],[Order ID]], [1]!Discount_tbl[Order ID], [1]!Discount_tbl[Discount %], 0)</f>
        <v>0</v>
      </c>
      <c r="M128" s="4">
        <f>tbl_Sales[[#This Row],[discount]]/100</f>
        <v>0</v>
      </c>
      <c r="N128" s="11">
        <f>(1-tbl_Sales[[#This Row],[Discount Percentage]]) * tbl_Sales[[#This Row],[Net Revenue]]</f>
        <v>6800</v>
      </c>
    </row>
    <row r="129" spans="1:14" x14ac:dyDescent="0.2">
      <c r="A129" s="4" t="s">
        <v>279</v>
      </c>
      <c r="B129" s="5">
        <v>45937</v>
      </c>
      <c r="C129" s="4" t="s">
        <v>95</v>
      </c>
      <c r="D129" s="4" t="s">
        <v>33</v>
      </c>
      <c r="E129" s="4" t="s">
        <v>34</v>
      </c>
      <c r="F129" s="4" t="s">
        <v>16</v>
      </c>
      <c r="G129" s="4" t="s">
        <v>17</v>
      </c>
      <c r="H129" s="4">
        <v>15</v>
      </c>
      <c r="I129" s="10">
        <v>94.75</v>
      </c>
      <c r="J129" s="4" t="s">
        <v>25</v>
      </c>
      <c r="K129" s="11">
        <f>tbl_Sales[[#This Row],[Units]] *tbl_Sales[[#This Row],[Unit Price]]</f>
        <v>1421.25</v>
      </c>
      <c r="L129" s="4">
        <f>_xlfn.XLOOKUP(tbl_Sales[[#This Row],[Order ID]], [1]!Discount_tbl[Order ID], [1]!Discount_tbl[Discount %], 0)</f>
        <v>0</v>
      </c>
      <c r="M129" s="4">
        <f>tbl_Sales[[#This Row],[discount]]/100</f>
        <v>0</v>
      </c>
      <c r="N129" s="11">
        <f>(1-tbl_Sales[[#This Row],[Discount Percentage]]) * tbl_Sales[[#This Row],[Net Revenue]]</f>
        <v>1421.25</v>
      </c>
    </row>
    <row r="130" spans="1:14" x14ac:dyDescent="0.2">
      <c r="A130" s="4" t="s">
        <v>280</v>
      </c>
      <c r="B130" s="5">
        <v>45993</v>
      </c>
      <c r="C130" s="4" t="s">
        <v>37</v>
      </c>
      <c r="D130" s="4" t="s">
        <v>43</v>
      </c>
      <c r="E130" s="4" t="s">
        <v>63</v>
      </c>
      <c r="F130" s="4" t="s">
        <v>122</v>
      </c>
      <c r="G130" s="4" t="s">
        <v>69</v>
      </c>
      <c r="H130" s="4">
        <v>22</v>
      </c>
      <c r="I130" s="10">
        <v>12.25</v>
      </c>
      <c r="J130" s="4" t="s">
        <v>35</v>
      </c>
      <c r="K130" s="11">
        <f>tbl_Sales[[#This Row],[Units]] *tbl_Sales[[#This Row],[Unit Price]]</f>
        <v>269.5</v>
      </c>
      <c r="L130" s="4">
        <f>_xlfn.XLOOKUP(tbl_Sales[[#This Row],[Order ID]], [1]!Discount_tbl[Order ID], [1]!Discount_tbl[Discount %], 0)</f>
        <v>0</v>
      </c>
      <c r="M130" s="4">
        <f>tbl_Sales[[#This Row],[discount]]/100</f>
        <v>0</v>
      </c>
      <c r="N130" s="11">
        <f>(1-tbl_Sales[[#This Row],[Discount Percentage]]) * tbl_Sales[[#This Row],[Net Revenue]]</f>
        <v>269.5</v>
      </c>
    </row>
    <row r="131" spans="1:14" x14ac:dyDescent="0.2">
      <c r="A131" s="4" t="s">
        <v>281</v>
      </c>
      <c r="B131" s="5">
        <v>45996</v>
      </c>
      <c r="C131" s="4" t="s">
        <v>75</v>
      </c>
      <c r="D131" s="4" t="s">
        <v>60</v>
      </c>
      <c r="E131" s="4" t="s">
        <v>23</v>
      </c>
      <c r="F131" s="4" t="s">
        <v>29</v>
      </c>
      <c r="G131" s="4" t="s">
        <v>30</v>
      </c>
      <c r="H131" s="4">
        <v>21</v>
      </c>
      <c r="I131" s="10">
        <v>76.5</v>
      </c>
      <c r="J131" s="4" t="s">
        <v>82</v>
      </c>
      <c r="K131" s="11">
        <f>tbl_Sales[[#This Row],[Units]] *tbl_Sales[[#This Row],[Unit Price]]</f>
        <v>1606.5</v>
      </c>
      <c r="L131" s="4">
        <f>_xlfn.XLOOKUP(tbl_Sales[[#This Row],[Order ID]], [1]!Discount_tbl[Order ID], [1]!Discount_tbl[Discount %], 0)</f>
        <v>0</v>
      </c>
      <c r="M131" s="4">
        <f>tbl_Sales[[#This Row],[discount]]/100</f>
        <v>0</v>
      </c>
      <c r="N131" s="11">
        <f>(1-tbl_Sales[[#This Row],[Discount Percentage]]) * tbl_Sales[[#This Row],[Net Revenue]]</f>
        <v>1606.5</v>
      </c>
    </row>
    <row r="132" spans="1:14" x14ac:dyDescent="0.2">
      <c r="A132" s="4" t="s">
        <v>283</v>
      </c>
      <c r="B132" s="5">
        <v>45932</v>
      </c>
      <c r="C132" s="4" t="s">
        <v>46</v>
      </c>
      <c r="D132" s="4" t="s">
        <v>60</v>
      </c>
      <c r="E132" s="4" t="s">
        <v>23</v>
      </c>
      <c r="F132" s="4" t="s">
        <v>16</v>
      </c>
      <c r="G132" s="4" t="s">
        <v>17</v>
      </c>
      <c r="H132" s="4">
        <v>21</v>
      </c>
      <c r="I132" s="10">
        <v>94.75</v>
      </c>
      <c r="J132" s="4" t="s">
        <v>48</v>
      </c>
      <c r="K132" s="11">
        <f>tbl_Sales[[#This Row],[Units]] *tbl_Sales[[#This Row],[Unit Price]]</f>
        <v>1989.75</v>
      </c>
      <c r="L132" s="4">
        <f>_xlfn.XLOOKUP(tbl_Sales[[#This Row],[Order ID]], [1]!Discount_tbl[Order ID], [1]!Discount_tbl[Discount %], 0)</f>
        <v>0</v>
      </c>
      <c r="M132" s="4">
        <f>tbl_Sales[[#This Row],[discount]]/100</f>
        <v>0</v>
      </c>
      <c r="N132" s="11">
        <f>(1-tbl_Sales[[#This Row],[Discount Percentage]]) * tbl_Sales[[#This Row],[Net Revenue]]</f>
        <v>1989.75</v>
      </c>
    </row>
    <row r="133" spans="1:14" x14ac:dyDescent="0.2">
      <c r="A133" s="4" t="s">
        <v>285</v>
      </c>
      <c r="B133" s="5">
        <v>46000</v>
      </c>
      <c r="C133" s="4" t="s">
        <v>286</v>
      </c>
      <c r="D133" s="4" t="s">
        <v>33</v>
      </c>
      <c r="E133" s="4" t="s">
        <v>15</v>
      </c>
      <c r="F133" s="4" t="s">
        <v>16</v>
      </c>
      <c r="G133" s="4" t="s">
        <v>17</v>
      </c>
      <c r="H133" s="4">
        <v>16</v>
      </c>
      <c r="I133" s="10">
        <v>94.75</v>
      </c>
      <c r="J133" s="4" t="s">
        <v>48</v>
      </c>
      <c r="K133" s="11">
        <f>tbl_Sales[[#This Row],[Units]] *tbl_Sales[[#This Row],[Unit Price]]</f>
        <v>1516</v>
      </c>
      <c r="L133" s="4">
        <f>_xlfn.XLOOKUP(tbl_Sales[[#This Row],[Order ID]], [1]!Discount_tbl[Order ID], [1]!Discount_tbl[Discount %], 0)</f>
        <v>2.5</v>
      </c>
      <c r="M133" s="4">
        <f>tbl_Sales[[#This Row],[discount]]/100</f>
        <v>2.5000000000000001E-2</v>
      </c>
      <c r="N133" s="11">
        <f>(1-tbl_Sales[[#This Row],[Discount Percentage]]) * tbl_Sales[[#This Row],[Net Revenue]]</f>
        <v>1478.1</v>
      </c>
    </row>
    <row r="134" spans="1:14" x14ac:dyDescent="0.2">
      <c r="A134" s="4" t="s">
        <v>287</v>
      </c>
      <c r="B134" s="5">
        <v>45972</v>
      </c>
      <c r="C134" s="4" t="s">
        <v>21</v>
      </c>
      <c r="D134" s="4" t="s">
        <v>60</v>
      </c>
      <c r="E134" s="4" t="s">
        <v>15</v>
      </c>
      <c r="F134" s="4" t="s">
        <v>39</v>
      </c>
      <c r="G134" s="4" t="s">
        <v>40</v>
      </c>
      <c r="H134" s="4">
        <v>6</v>
      </c>
      <c r="I134" s="10">
        <v>44</v>
      </c>
      <c r="J134" s="4" t="s">
        <v>25</v>
      </c>
      <c r="K134" s="11">
        <f>tbl_Sales[[#This Row],[Units]] *tbl_Sales[[#This Row],[Unit Price]]</f>
        <v>264</v>
      </c>
      <c r="L134" s="4">
        <f>_xlfn.XLOOKUP(tbl_Sales[[#This Row],[Order ID]], [1]!Discount_tbl[Order ID], [1]!Discount_tbl[Discount %], 0)</f>
        <v>0</v>
      </c>
      <c r="M134" s="4">
        <f>tbl_Sales[[#This Row],[discount]]/100</f>
        <v>0</v>
      </c>
      <c r="N134" s="11">
        <f>(1-tbl_Sales[[#This Row],[Discount Percentage]]) * tbl_Sales[[#This Row],[Net Revenue]]</f>
        <v>264</v>
      </c>
    </row>
    <row r="135" spans="1:14" x14ac:dyDescent="0.2">
      <c r="A135" s="4" t="s">
        <v>288</v>
      </c>
      <c r="B135" s="5">
        <v>45970</v>
      </c>
      <c r="C135" s="4" t="s">
        <v>13</v>
      </c>
      <c r="D135" s="4" t="s">
        <v>33</v>
      </c>
      <c r="E135" s="4" t="s">
        <v>63</v>
      </c>
      <c r="F135" s="4" t="s">
        <v>29</v>
      </c>
      <c r="G135" s="4" t="s">
        <v>30</v>
      </c>
      <c r="H135" s="4">
        <v>2</v>
      </c>
      <c r="I135" s="10">
        <v>76.5</v>
      </c>
      <c r="J135" s="4" t="s">
        <v>19</v>
      </c>
      <c r="K135" s="11">
        <f>tbl_Sales[[#This Row],[Units]] *tbl_Sales[[#This Row],[Unit Price]]</f>
        <v>153</v>
      </c>
      <c r="L135" s="4">
        <f>_xlfn.XLOOKUP(tbl_Sales[[#This Row],[Order ID]], [1]!Discount_tbl[Order ID], [1]!Discount_tbl[Discount %], 0)</f>
        <v>0</v>
      </c>
      <c r="M135" s="4">
        <f>tbl_Sales[[#This Row],[discount]]/100</f>
        <v>0</v>
      </c>
      <c r="N135" s="11">
        <f>(1-tbl_Sales[[#This Row],[Discount Percentage]]) * tbl_Sales[[#This Row],[Net Revenue]]</f>
        <v>153</v>
      </c>
    </row>
    <row r="136" spans="1:14" x14ac:dyDescent="0.2">
      <c r="A136" s="4" t="s">
        <v>289</v>
      </c>
      <c r="B136" s="5">
        <v>45963</v>
      </c>
      <c r="C136" s="4" t="s">
        <v>148</v>
      </c>
      <c r="D136" s="4" t="s">
        <v>33</v>
      </c>
      <c r="E136" s="4" t="s">
        <v>63</v>
      </c>
      <c r="F136" s="4" t="s">
        <v>102</v>
      </c>
      <c r="G136" s="4" t="s">
        <v>103</v>
      </c>
      <c r="H136" s="4">
        <v>40</v>
      </c>
      <c r="I136" s="10">
        <v>24.5</v>
      </c>
      <c r="J136" s="4" t="s">
        <v>19</v>
      </c>
      <c r="K136" s="11">
        <f>tbl_Sales[[#This Row],[Units]] *tbl_Sales[[#This Row],[Unit Price]]</f>
        <v>980</v>
      </c>
      <c r="L136" s="4">
        <f>_xlfn.XLOOKUP(tbl_Sales[[#This Row],[Order ID]], [1]!Discount_tbl[Order ID], [1]!Discount_tbl[Discount %], 0)</f>
        <v>5</v>
      </c>
      <c r="M136" s="4">
        <f>tbl_Sales[[#This Row],[discount]]/100</f>
        <v>0.05</v>
      </c>
      <c r="N136" s="11">
        <f>(1-tbl_Sales[[#This Row],[Discount Percentage]]) * tbl_Sales[[#This Row],[Net Revenue]]</f>
        <v>931</v>
      </c>
    </row>
    <row r="137" spans="1:14" x14ac:dyDescent="0.2">
      <c r="A137" s="4" t="s">
        <v>290</v>
      </c>
      <c r="B137" s="5">
        <v>46019</v>
      </c>
      <c r="C137" s="4" t="s">
        <v>148</v>
      </c>
      <c r="D137" s="4" t="s">
        <v>60</v>
      </c>
      <c r="E137" s="4" t="s">
        <v>15</v>
      </c>
      <c r="F137" s="4" t="s">
        <v>47</v>
      </c>
      <c r="G137" s="4" t="s">
        <v>40</v>
      </c>
      <c r="H137" s="4">
        <v>28</v>
      </c>
      <c r="I137" s="10">
        <v>21.99</v>
      </c>
      <c r="J137" s="4" t="s">
        <v>48</v>
      </c>
      <c r="K137" s="11">
        <f>tbl_Sales[[#This Row],[Units]] *tbl_Sales[[#This Row],[Unit Price]]</f>
        <v>615.71999999999991</v>
      </c>
      <c r="L137" s="4">
        <f>_xlfn.XLOOKUP(tbl_Sales[[#This Row],[Order ID]], [1]!Discount_tbl[Order ID], [1]!Discount_tbl[Discount %], 0)</f>
        <v>0</v>
      </c>
      <c r="M137" s="4">
        <f>tbl_Sales[[#This Row],[discount]]/100</f>
        <v>0</v>
      </c>
      <c r="N137" s="11">
        <f>(1-tbl_Sales[[#This Row],[Discount Percentage]]) * tbl_Sales[[#This Row],[Net Revenue]]</f>
        <v>615.71999999999991</v>
      </c>
    </row>
    <row r="138" spans="1:14" x14ac:dyDescent="0.2">
      <c r="A138" s="4" t="s">
        <v>291</v>
      </c>
      <c r="B138" s="5">
        <v>45956</v>
      </c>
      <c r="C138" s="4" t="s">
        <v>148</v>
      </c>
      <c r="D138" s="4" t="s">
        <v>38</v>
      </c>
      <c r="E138" s="4" t="s">
        <v>28</v>
      </c>
      <c r="F138" s="4" t="s">
        <v>119</v>
      </c>
      <c r="G138" s="4" t="s">
        <v>30</v>
      </c>
      <c r="H138" s="4">
        <v>14</v>
      </c>
      <c r="I138" s="10">
        <v>189</v>
      </c>
      <c r="J138" s="4" t="s">
        <v>35</v>
      </c>
      <c r="K138" s="11">
        <f>tbl_Sales[[#This Row],[Units]] *tbl_Sales[[#This Row],[Unit Price]]</f>
        <v>2646</v>
      </c>
      <c r="L138" s="4">
        <f>_xlfn.XLOOKUP(tbl_Sales[[#This Row],[Order ID]], [1]!Discount_tbl[Order ID], [1]!Discount_tbl[Discount %], 0)</f>
        <v>0</v>
      </c>
      <c r="M138" s="4">
        <f>tbl_Sales[[#This Row],[discount]]/100</f>
        <v>0</v>
      </c>
      <c r="N138" s="11">
        <f>(1-tbl_Sales[[#This Row],[Discount Percentage]]) * tbl_Sales[[#This Row],[Net Revenue]]</f>
        <v>2646</v>
      </c>
    </row>
    <row r="139" spans="1:14" x14ac:dyDescent="0.2">
      <c r="A139" s="4" t="s">
        <v>293</v>
      </c>
      <c r="B139" s="5">
        <v>45981</v>
      </c>
      <c r="C139" s="4" t="s">
        <v>164</v>
      </c>
      <c r="D139" s="4" t="s">
        <v>33</v>
      </c>
      <c r="E139" s="4" t="s">
        <v>23</v>
      </c>
      <c r="F139" s="4" t="s">
        <v>68</v>
      </c>
      <c r="G139" s="4" t="s">
        <v>69</v>
      </c>
      <c r="H139" s="4">
        <v>26</v>
      </c>
      <c r="I139" s="10">
        <v>18.399999999999999</v>
      </c>
      <c r="J139" s="4" t="s">
        <v>19</v>
      </c>
      <c r="K139" s="11">
        <f>tbl_Sales[[#This Row],[Units]] *tbl_Sales[[#This Row],[Unit Price]]</f>
        <v>478.4</v>
      </c>
      <c r="L139" s="4">
        <f>_xlfn.XLOOKUP(tbl_Sales[[#This Row],[Order ID]], [1]!Discount_tbl[Order ID], [1]!Discount_tbl[Discount %], 0)</f>
        <v>0</v>
      </c>
      <c r="M139" s="4">
        <f>tbl_Sales[[#This Row],[discount]]/100</f>
        <v>0</v>
      </c>
      <c r="N139" s="11">
        <f>(1-tbl_Sales[[#This Row],[Discount Percentage]]) * tbl_Sales[[#This Row],[Net Revenue]]</f>
        <v>478.4</v>
      </c>
    </row>
    <row r="140" spans="1:14" x14ac:dyDescent="0.2">
      <c r="A140" s="4" t="s">
        <v>294</v>
      </c>
      <c r="B140" s="5">
        <v>45958</v>
      </c>
      <c r="C140" s="4" t="s">
        <v>87</v>
      </c>
      <c r="D140" s="4" t="s">
        <v>33</v>
      </c>
      <c r="E140" s="4" t="s">
        <v>34</v>
      </c>
      <c r="F140" s="4" t="s">
        <v>119</v>
      </c>
      <c r="G140" s="4" t="s">
        <v>30</v>
      </c>
      <c r="H140" s="4">
        <v>20</v>
      </c>
      <c r="I140" s="10">
        <v>189</v>
      </c>
      <c r="J140" s="4" t="s">
        <v>19</v>
      </c>
      <c r="K140" s="11">
        <f>tbl_Sales[[#This Row],[Units]] *tbl_Sales[[#This Row],[Unit Price]]</f>
        <v>3780</v>
      </c>
      <c r="L140" s="4">
        <f>_xlfn.XLOOKUP(tbl_Sales[[#This Row],[Order ID]], [1]!Discount_tbl[Order ID], [1]!Discount_tbl[Discount %], 0)</f>
        <v>0</v>
      </c>
      <c r="M140" s="4">
        <f>tbl_Sales[[#This Row],[discount]]/100</f>
        <v>0</v>
      </c>
      <c r="N140" s="11">
        <f>(1-tbl_Sales[[#This Row],[Discount Percentage]]) * tbl_Sales[[#This Row],[Net Revenue]]</f>
        <v>3780</v>
      </c>
    </row>
    <row r="141" spans="1:14" x14ac:dyDescent="0.2">
      <c r="A141" s="4" t="s">
        <v>295</v>
      </c>
      <c r="B141" s="5">
        <v>46015</v>
      </c>
      <c r="C141" s="4" t="s">
        <v>54</v>
      </c>
      <c r="D141" s="4" t="s">
        <v>43</v>
      </c>
      <c r="E141" s="4" t="s">
        <v>23</v>
      </c>
      <c r="F141" s="4" t="s">
        <v>122</v>
      </c>
      <c r="G141" s="4" t="s">
        <v>69</v>
      </c>
      <c r="H141" s="4">
        <v>18</v>
      </c>
      <c r="I141" s="10">
        <v>12.25</v>
      </c>
      <c r="J141" s="4" t="s">
        <v>19</v>
      </c>
      <c r="K141" s="11">
        <f>tbl_Sales[[#This Row],[Units]] *tbl_Sales[[#This Row],[Unit Price]]</f>
        <v>220.5</v>
      </c>
      <c r="L141" s="4">
        <f>_xlfn.XLOOKUP(tbl_Sales[[#This Row],[Order ID]], [1]!Discount_tbl[Order ID], [1]!Discount_tbl[Discount %], 0)</f>
        <v>0</v>
      </c>
      <c r="M141" s="4">
        <f>tbl_Sales[[#This Row],[discount]]/100</f>
        <v>0</v>
      </c>
      <c r="N141" s="11">
        <f>(1-tbl_Sales[[#This Row],[Discount Percentage]]) * tbl_Sales[[#This Row],[Net Revenue]]</f>
        <v>220.5</v>
      </c>
    </row>
    <row r="142" spans="1:14" x14ac:dyDescent="0.2">
      <c r="A142" s="4" t="s">
        <v>296</v>
      </c>
      <c r="B142" s="5">
        <v>45970</v>
      </c>
      <c r="C142" s="4" t="s">
        <v>42</v>
      </c>
      <c r="D142" s="4" t="s">
        <v>60</v>
      </c>
      <c r="E142" s="4" t="s">
        <v>28</v>
      </c>
      <c r="F142" s="4" t="s">
        <v>29</v>
      </c>
      <c r="G142" s="4" t="s">
        <v>30</v>
      </c>
      <c r="H142" s="4">
        <v>25</v>
      </c>
      <c r="I142" s="10">
        <v>76.5</v>
      </c>
      <c r="J142" s="4" t="s">
        <v>25</v>
      </c>
      <c r="K142" s="11">
        <f>tbl_Sales[[#This Row],[Units]] *tbl_Sales[[#This Row],[Unit Price]]</f>
        <v>1912.5</v>
      </c>
      <c r="L142" s="4">
        <f>_xlfn.XLOOKUP(tbl_Sales[[#This Row],[Order ID]], [1]!Discount_tbl[Order ID], [1]!Discount_tbl[Discount %], 0)</f>
        <v>0</v>
      </c>
      <c r="M142" s="4">
        <f>tbl_Sales[[#This Row],[discount]]/100</f>
        <v>0</v>
      </c>
      <c r="N142" s="11">
        <f>(1-tbl_Sales[[#This Row],[Discount Percentage]]) * tbl_Sales[[#This Row],[Net Revenue]]</f>
        <v>1912.5</v>
      </c>
    </row>
    <row r="143" spans="1:14" x14ac:dyDescent="0.2">
      <c r="A143" s="4" t="s">
        <v>298</v>
      </c>
      <c r="B143" s="5">
        <v>45967</v>
      </c>
      <c r="C143" s="4" t="s">
        <v>75</v>
      </c>
      <c r="D143" s="4" t="s">
        <v>60</v>
      </c>
      <c r="E143" s="4" t="s">
        <v>15</v>
      </c>
      <c r="F143" s="4" t="s">
        <v>47</v>
      </c>
      <c r="G143" s="4" t="s">
        <v>40</v>
      </c>
      <c r="H143" s="4">
        <v>4</v>
      </c>
      <c r="I143" s="10">
        <v>21.99</v>
      </c>
      <c r="J143" s="4" t="s">
        <v>25</v>
      </c>
      <c r="K143" s="11">
        <f>tbl_Sales[[#This Row],[Units]] *tbl_Sales[[#This Row],[Unit Price]]</f>
        <v>87.96</v>
      </c>
      <c r="L143" s="4">
        <f>_xlfn.XLOOKUP(tbl_Sales[[#This Row],[Order ID]], [1]!Discount_tbl[Order ID], [1]!Discount_tbl[Discount %], 0)</f>
        <v>0</v>
      </c>
      <c r="M143" s="4">
        <f>tbl_Sales[[#This Row],[discount]]/100</f>
        <v>0</v>
      </c>
      <c r="N143" s="11">
        <f>(1-tbl_Sales[[#This Row],[Discount Percentage]]) * tbl_Sales[[#This Row],[Net Revenue]]</f>
        <v>87.96</v>
      </c>
    </row>
    <row r="144" spans="1:14" x14ac:dyDescent="0.2">
      <c r="A144" s="4" t="s">
        <v>300</v>
      </c>
      <c r="B144" s="5">
        <v>45991</v>
      </c>
      <c r="C144" s="4" t="s">
        <v>265</v>
      </c>
      <c r="D144" s="4" t="s">
        <v>38</v>
      </c>
      <c r="E144" s="4" t="s">
        <v>63</v>
      </c>
      <c r="F144" s="4" t="s">
        <v>119</v>
      </c>
      <c r="G144" s="4" t="s">
        <v>30</v>
      </c>
      <c r="H144" s="4">
        <v>37</v>
      </c>
      <c r="I144" s="10">
        <v>189</v>
      </c>
      <c r="J144" s="4" t="s">
        <v>35</v>
      </c>
      <c r="K144" s="11">
        <f>tbl_Sales[[#This Row],[Units]] *tbl_Sales[[#This Row],[Unit Price]]</f>
        <v>6993</v>
      </c>
      <c r="L144" s="4">
        <f>_xlfn.XLOOKUP(tbl_Sales[[#This Row],[Order ID]], [1]!Discount_tbl[Order ID], [1]!Discount_tbl[Discount %], 0)</f>
        <v>0</v>
      </c>
      <c r="M144" s="4">
        <f>tbl_Sales[[#This Row],[discount]]/100</f>
        <v>0</v>
      </c>
      <c r="N144" s="11">
        <f>(1-tbl_Sales[[#This Row],[Discount Percentage]]) * tbl_Sales[[#This Row],[Net Revenue]]</f>
        <v>6993</v>
      </c>
    </row>
    <row r="145" spans="1:14" x14ac:dyDescent="0.2">
      <c r="A145" s="4" t="s">
        <v>301</v>
      </c>
      <c r="B145" s="5">
        <v>45989</v>
      </c>
      <c r="C145" s="4" t="s">
        <v>57</v>
      </c>
      <c r="D145" s="4" t="s">
        <v>43</v>
      </c>
      <c r="E145" s="4" t="s">
        <v>28</v>
      </c>
      <c r="F145" s="4" t="s">
        <v>102</v>
      </c>
      <c r="G145" s="4" t="s">
        <v>103</v>
      </c>
      <c r="H145" s="4">
        <v>36</v>
      </c>
      <c r="I145" s="10">
        <v>24.5</v>
      </c>
      <c r="J145" s="4" t="s">
        <v>82</v>
      </c>
      <c r="K145" s="11">
        <f>tbl_Sales[[#This Row],[Units]] *tbl_Sales[[#This Row],[Unit Price]]</f>
        <v>882</v>
      </c>
      <c r="L145" s="4">
        <f>_xlfn.XLOOKUP(tbl_Sales[[#This Row],[Order ID]], [1]!Discount_tbl[Order ID], [1]!Discount_tbl[Discount %], 0)</f>
        <v>5</v>
      </c>
      <c r="M145" s="4">
        <f>tbl_Sales[[#This Row],[discount]]/100</f>
        <v>0.05</v>
      </c>
      <c r="N145" s="11">
        <f>(1-tbl_Sales[[#This Row],[Discount Percentage]]) * tbl_Sales[[#This Row],[Net Revenue]]</f>
        <v>837.9</v>
      </c>
    </row>
    <row r="146" spans="1:14" x14ac:dyDescent="0.2">
      <c r="A146" s="4" t="s">
        <v>302</v>
      </c>
      <c r="B146" s="5">
        <v>45944</v>
      </c>
      <c r="C146" s="4" t="s">
        <v>50</v>
      </c>
      <c r="D146" s="4" t="s">
        <v>33</v>
      </c>
      <c r="E146" s="4" t="s">
        <v>23</v>
      </c>
      <c r="F146" s="4" t="s">
        <v>51</v>
      </c>
      <c r="G146" s="4" t="s">
        <v>30</v>
      </c>
      <c r="H146" s="4">
        <v>20</v>
      </c>
      <c r="I146" s="10">
        <v>340</v>
      </c>
      <c r="J146" s="4" t="s">
        <v>19</v>
      </c>
      <c r="K146" s="11">
        <f>tbl_Sales[[#This Row],[Units]] *tbl_Sales[[#This Row],[Unit Price]]</f>
        <v>6800</v>
      </c>
      <c r="L146" s="4">
        <f>_xlfn.XLOOKUP(tbl_Sales[[#This Row],[Order ID]], [1]!Discount_tbl[Order ID], [1]!Discount_tbl[Discount %], 0)</f>
        <v>7.5</v>
      </c>
      <c r="M146" s="4">
        <f>tbl_Sales[[#This Row],[discount]]/100</f>
        <v>7.4999999999999997E-2</v>
      </c>
      <c r="N146" s="11">
        <f>(1-tbl_Sales[[#This Row],[Discount Percentage]]) * tbl_Sales[[#This Row],[Net Revenue]]</f>
        <v>6290</v>
      </c>
    </row>
    <row r="147" spans="1:14" x14ac:dyDescent="0.2">
      <c r="A147" s="4" t="s">
        <v>304</v>
      </c>
      <c r="B147" s="5">
        <v>45967</v>
      </c>
      <c r="C147" s="4" t="s">
        <v>46</v>
      </c>
      <c r="D147" s="4" t="s">
        <v>43</v>
      </c>
      <c r="E147" s="4" t="s">
        <v>28</v>
      </c>
      <c r="F147" s="4" t="s">
        <v>122</v>
      </c>
      <c r="G147" s="4" t="s">
        <v>69</v>
      </c>
      <c r="H147" s="4">
        <v>32</v>
      </c>
      <c r="I147" s="10">
        <v>12.25</v>
      </c>
      <c r="J147" s="4" t="s">
        <v>82</v>
      </c>
      <c r="K147" s="11">
        <f>tbl_Sales[[#This Row],[Units]] *tbl_Sales[[#This Row],[Unit Price]]</f>
        <v>392</v>
      </c>
      <c r="L147" s="4">
        <f>_xlfn.XLOOKUP(tbl_Sales[[#This Row],[Order ID]], [1]!Discount_tbl[Order ID], [1]!Discount_tbl[Discount %], 0)</f>
        <v>2.5</v>
      </c>
      <c r="M147" s="4">
        <f>tbl_Sales[[#This Row],[discount]]/100</f>
        <v>2.5000000000000001E-2</v>
      </c>
      <c r="N147" s="11">
        <f>(1-tbl_Sales[[#This Row],[Discount Percentage]]) * tbl_Sales[[#This Row],[Net Revenue]]</f>
        <v>382.2</v>
      </c>
    </row>
    <row r="148" spans="1:14" x14ac:dyDescent="0.2">
      <c r="A148" s="4" t="s">
        <v>305</v>
      </c>
      <c r="B148" s="5">
        <v>45937</v>
      </c>
      <c r="C148" s="4" t="s">
        <v>50</v>
      </c>
      <c r="D148" s="4" t="s">
        <v>38</v>
      </c>
      <c r="E148" s="4" t="s">
        <v>23</v>
      </c>
      <c r="F148" s="4" t="s">
        <v>122</v>
      </c>
      <c r="G148" s="4" t="s">
        <v>69</v>
      </c>
      <c r="H148" s="4">
        <v>4</v>
      </c>
      <c r="I148" s="10">
        <v>12.25</v>
      </c>
      <c r="J148" s="4" t="s">
        <v>25</v>
      </c>
      <c r="K148" s="11">
        <f>tbl_Sales[[#This Row],[Units]] *tbl_Sales[[#This Row],[Unit Price]]</f>
        <v>49</v>
      </c>
      <c r="L148" s="4">
        <f>_xlfn.XLOOKUP(tbl_Sales[[#This Row],[Order ID]], [1]!Discount_tbl[Order ID], [1]!Discount_tbl[Discount %], 0)</f>
        <v>5</v>
      </c>
      <c r="M148" s="4">
        <f>tbl_Sales[[#This Row],[discount]]/100</f>
        <v>0.05</v>
      </c>
      <c r="N148" s="11">
        <f>(1-tbl_Sales[[#This Row],[Discount Percentage]]) * tbl_Sales[[#This Row],[Net Revenue]]</f>
        <v>46.55</v>
      </c>
    </row>
    <row r="149" spans="1:14" x14ac:dyDescent="0.2">
      <c r="A149" s="4" t="s">
        <v>306</v>
      </c>
      <c r="B149" s="5">
        <v>46006</v>
      </c>
      <c r="C149" s="4" t="s">
        <v>109</v>
      </c>
      <c r="D149" s="4" t="s">
        <v>43</v>
      </c>
      <c r="E149" s="4" t="s">
        <v>34</v>
      </c>
      <c r="F149" s="4" t="s">
        <v>47</v>
      </c>
      <c r="G149" s="4" t="s">
        <v>40</v>
      </c>
      <c r="H149" s="4">
        <v>14</v>
      </c>
      <c r="I149" s="10">
        <v>21.99</v>
      </c>
      <c r="J149" s="4" t="s">
        <v>35</v>
      </c>
      <c r="K149" s="11">
        <f>tbl_Sales[[#This Row],[Units]] *tbl_Sales[[#This Row],[Unit Price]]</f>
        <v>307.85999999999996</v>
      </c>
      <c r="L149" s="4">
        <f>_xlfn.XLOOKUP(tbl_Sales[[#This Row],[Order ID]], [1]!Discount_tbl[Order ID], [1]!Discount_tbl[Discount %], 0)</f>
        <v>0</v>
      </c>
      <c r="M149" s="4">
        <f>tbl_Sales[[#This Row],[discount]]/100</f>
        <v>0</v>
      </c>
      <c r="N149" s="11">
        <f>(1-tbl_Sales[[#This Row],[Discount Percentage]]) * tbl_Sales[[#This Row],[Net Revenue]]</f>
        <v>307.85999999999996</v>
      </c>
    </row>
    <row r="150" spans="1:14" x14ac:dyDescent="0.2">
      <c r="A150" s="4" t="s">
        <v>308</v>
      </c>
      <c r="B150" s="5">
        <v>46015</v>
      </c>
      <c r="C150" s="4" t="s">
        <v>215</v>
      </c>
      <c r="D150" s="4" t="s">
        <v>33</v>
      </c>
      <c r="E150" s="4" t="s">
        <v>23</v>
      </c>
      <c r="F150" s="4" t="s">
        <v>68</v>
      </c>
      <c r="G150" s="4" t="s">
        <v>69</v>
      </c>
      <c r="H150" s="4">
        <v>12</v>
      </c>
      <c r="I150" s="10">
        <v>18.399999999999999</v>
      </c>
      <c r="J150" s="4" t="s">
        <v>35</v>
      </c>
      <c r="K150" s="11">
        <f>tbl_Sales[[#This Row],[Units]] *tbl_Sales[[#This Row],[Unit Price]]</f>
        <v>220.79999999999998</v>
      </c>
      <c r="L150" s="4">
        <f>_xlfn.XLOOKUP(tbl_Sales[[#This Row],[Order ID]], [1]!Discount_tbl[Order ID], [1]!Discount_tbl[Discount %], 0)</f>
        <v>0</v>
      </c>
      <c r="M150" s="4">
        <f>tbl_Sales[[#This Row],[discount]]/100</f>
        <v>0</v>
      </c>
      <c r="N150" s="11">
        <f>(1-tbl_Sales[[#This Row],[Discount Percentage]]) * tbl_Sales[[#This Row],[Net Revenue]]</f>
        <v>220.79999999999998</v>
      </c>
    </row>
    <row r="151" spans="1:14" x14ac:dyDescent="0.2">
      <c r="A151" s="4" t="s">
        <v>309</v>
      </c>
      <c r="B151" s="5">
        <v>45957</v>
      </c>
      <c r="C151" s="4" t="s">
        <v>286</v>
      </c>
      <c r="D151" s="4" t="s">
        <v>60</v>
      </c>
      <c r="E151" s="4" t="s">
        <v>28</v>
      </c>
      <c r="F151" s="4" t="s">
        <v>68</v>
      </c>
      <c r="G151" s="4" t="s">
        <v>69</v>
      </c>
      <c r="H151" s="4">
        <v>18</v>
      </c>
      <c r="I151" s="10">
        <v>18.399999999999999</v>
      </c>
      <c r="J151" s="4" t="s">
        <v>25</v>
      </c>
      <c r="K151" s="11">
        <f>tbl_Sales[[#This Row],[Units]] *tbl_Sales[[#This Row],[Unit Price]]</f>
        <v>331.2</v>
      </c>
      <c r="L151" s="4">
        <f>_xlfn.XLOOKUP(tbl_Sales[[#This Row],[Order ID]], [1]!Discount_tbl[Order ID], [1]!Discount_tbl[Discount %], 0)</f>
        <v>0</v>
      </c>
      <c r="M151" s="4">
        <f>tbl_Sales[[#This Row],[discount]]/100</f>
        <v>0</v>
      </c>
      <c r="N151" s="11">
        <f>(1-tbl_Sales[[#This Row],[Discount Percentage]]) * tbl_Sales[[#This Row],[Net Revenue]]</f>
        <v>331.2</v>
      </c>
    </row>
    <row r="152" spans="1:14" x14ac:dyDescent="0.2">
      <c r="A152" s="4" t="s">
        <v>310</v>
      </c>
      <c r="B152" s="5">
        <v>45970</v>
      </c>
      <c r="C152" s="4" t="s">
        <v>13</v>
      </c>
      <c r="D152" s="4" t="s">
        <v>33</v>
      </c>
      <c r="E152" s="4" t="s">
        <v>343</v>
      </c>
      <c r="F152" s="4" t="s">
        <v>119</v>
      </c>
      <c r="G152" s="4" t="s">
        <v>30</v>
      </c>
      <c r="H152" s="4">
        <v>28</v>
      </c>
      <c r="I152" s="10">
        <v>189</v>
      </c>
      <c r="J152" s="4" t="s">
        <v>19</v>
      </c>
      <c r="K152" s="11">
        <f>tbl_Sales[[#This Row],[Units]] *tbl_Sales[[#This Row],[Unit Price]]</f>
        <v>5292</v>
      </c>
      <c r="L152" s="4">
        <f>_xlfn.XLOOKUP(tbl_Sales[[#This Row],[Order ID]], [1]!Discount_tbl[Order ID], [1]!Discount_tbl[Discount %], 0)</f>
        <v>0</v>
      </c>
      <c r="M152" s="4">
        <f>tbl_Sales[[#This Row],[discount]]/100</f>
        <v>0</v>
      </c>
      <c r="N152" s="11">
        <f>(1-tbl_Sales[[#This Row],[Discount Percentage]]) * tbl_Sales[[#This Row],[Net Revenue]]</f>
        <v>5292</v>
      </c>
    </row>
    <row r="153" spans="1:14" x14ac:dyDescent="0.2">
      <c r="A153" s="4" t="s">
        <v>311</v>
      </c>
      <c r="B153" s="5">
        <v>45992</v>
      </c>
      <c r="C153" s="4" t="s">
        <v>75</v>
      </c>
      <c r="D153" s="4" t="s">
        <v>33</v>
      </c>
      <c r="E153" s="4" t="s">
        <v>34</v>
      </c>
      <c r="F153" s="4" t="s">
        <v>29</v>
      </c>
      <c r="G153" s="4" t="s">
        <v>30</v>
      </c>
      <c r="H153" s="4">
        <v>19</v>
      </c>
      <c r="I153" s="10">
        <v>76.5</v>
      </c>
      <c r="J153" s="4" t="s">
        <v>35</v>
      </c>
      <c r="K153" s="11">
        <f>tbl_Sales[[#This Row],[Units]] *tbl_Sales[[#This Row],[Unit Price]]</f>
        <v>1453.5</v>
      </c>
      <c r="L153" s="4">
        <f>_xlfn.XLOOKUP(tbl_Sales[[#This Row],[Order ID]], [1]!Discount_tbl[Order ID], [1]!Discount_tbl[Discount %], 0)</f>
        <v>0</v>
      </c>
      <c r="M153" s="4">
        <f>tbl_Sales[[#This Row],[discount]]/100</f>
        <v>0</v>
      </c>
      <c r="N153" s="11">
        <f>(1-tbl_Sales[[#This Row],[Discount Percentage]]) * tbl_Sales[[#This Row],[Net Revenue]]</f>
        <v>1453.5</v>
      </c>
    </row>
    <row r="154" spans="1:14" x14ac:dyDescent="0.2">
      <c r="A154" s="4" t="s">
        <v>312</v>
      </c>
      <c r="B154" s="5">
        <v>45944</v>
      </c>
      <c r="C154" s="4" t="s">
        <v>95</v>
      </c>
      <c r="D154" s="4" t="s">
        <v>43</v>
      </c>
      <c r="E154" s="4" t="s">
        <v>23</v>
      </c>
      <c r="F154" s="4" t="s">
        <v>102</v>
      </c>
      <c r="G154" s="4" t="s">
        <v>103</v>
      </c>
      <c r="H154" s="4">
        <v>2</v>
      </c>
      <c r="I154" s="10">
        <v>24.5</v>
      </c>
      <c r="J154" s="4" t="s">
        <v>82</v>
      </c>
      <c r="K154" s="11">
        <f>tbl_Sales[[#This Row],[Units]] *tbl_Sales[[#This Row],[Unit Price]]</f>
        <v>49</v>
      </c>
      <c r="L154" s="4">
        <f>_xlfn.XLOOKUP(tbl_Sales[[#This Row],[Order ID]], [1]!Discount_tbl[Order ID], [1]!Discount_tbl[Discount %], 0)</f>
        <v>0</v>
      </c>
      <c r="M154" s="4">
        <f>tbl_Sales[[#This Row],[discount]]/100</f>
        <v>0</v>
      </c>
      <c r="N154" s="11">
        <f>(1-tbl_Sales[[#This Row],[Discount Percentage]]) * tbl_Sales[[#This Row],[Net Revenue]]</f>
        <v>49</v>
      </c>
    </row>
    <row r="155" spans="1:14" x14ac:dyDescent="0.2">
      <c r="A155" s="4" t="s">
        <v>314</v>
      </c>
      <c r="B155" s="5">
        <v>46011</v>
      </c>
      <c r="C155" s="4" t="s">
        <v>164</v>
      </c>
      <c r="D155" s="4" t="s">
        <v>43</v>
      </c>
      <c r="E155" s="4" t="s">
        <v>15</v>
      </c>
      <c r="F155" s="4" t="s">
        <v>24</v>
      </c>
      <c r="G155" s="4" t="s">
        <v>17</v>
      </c>
      <c r="H155" s="4">
        <v>17</v>
      </c>
      <c r="I155" s="10">
        <v>68</v>
      </c>
      <c r="J155" s="4" t="s">
        <v>19</v>
      </c>
      <c r="K155" s="11">
        <f>tbl_Sales[[#This Row],[Units]] *tbl_Sales[[#This Row],[Unit Price]]</f>
        <v>1156</v>
      </c>
      <c r="L155" s="4">
        <f>_xlfn.XLOOKUP(tbl_Sales[[#This Row],[Order ID]], [1]!Discount_tbl[Order ID], [1]!Discount_tbl[Discount %], 0)</f>
        <v>0</v>
      </c>
      <c r="M155" s="4">
        <f>tbl_Sales[[#This Row],[discount]]/100</f>
        <v>0</v>
      </c>
      <c r="N155" s="11">
        <f>(1-tbl_Sales[[#This Row],[Discount Percentage]]) * tbl_Sales[[#This Row],[Net Revenue]]</f>
        <v>1156</v>
      </c>
    </row>
    <row r="156" spans="1:14" x14ac:dyDescent="0.2">
      <c r="A156" s="4" t="s">
        <v>315</v>
      </c>
      <c r="B156" s="5">
        <v>45951</v>
      </c>
      <c r="C156" s="4" t="s">
        <v>46</v>
      </c>
      <c r="D156" s="4" t="s">
        <v>43</v>
      </c>
      <c r="E156" s="4" t="s">
        <v>23</v>
      </c>
      <c r="F156" s="4" t="s">
        <v>39</v>
      </c>
      <c r="G156" s="4" t="s">
        <v>40</v>
      </c>
      <c r="H156" s="4">
        <v>30</v>
      </c>
      <c r="I156" s="10">
        <v>44</v>
      </c>
      <c r="J156" s="4" t="s">
        <v>48</v>
      </c>
      <c r="K156" s="11">
        <f>tbl_Sales[[#This Row],[Units]] *tbl_Sales[[#This Row],[Unit Price]]</f>
        <v>1320</v>
      </c>
      <c r="L156" s="4">
        <f>_xlfn.XLOOKUP(tbl_Sales[[#This Row],[Order ID]], [1]!Discount_tbl[Order ID], [1]!Discount_tbl[Discount %], 0)</f>
        <v>0</v>
      </c>
      <c r="M156" s="4">
        <f>tbl_Sales[[#This Row],[discount]]/100</f>
        <v>0</v>
      </c>
      <c r="N156" s="11">
        <f>(1-tbl_Sales[[#This Row],[Discount Percentage]]) * tbl_Sales[[#This Row],[Net Revenue]]</f>
        <v>1320</v>
      </c>
    </row>
    <row r="157" spans="1:14" x14ac:dyDescent="0.2">
      <c r="A157" s="4" t="s">
        <v>317</v>
      </c>
      <c r="B157" s="5">
        <v>45982</v>
      </c>
      <c r="C157" s="4" t="s">
        <v>46</v>
      </c>
      <c r="D157" s="4" t="s">
        <v>33</v>
      </c>
      <c r="E157" s="4" t="s">
        <v>15</v>
      </c>
      <c r="F157" s="4" t="s">
        <v>24</v>
      </c>
      <c r="G157" s="4" t="s">
        <v>17</v>
      </c>
      <c r="H157" s="4">
        <v>18</v>
      </c>
      <c r="I157" s="10">
        <v>68</v>
      </c>
      <c r="J157" s="4" t="s">
        <v>35</v>
      </c>
      <c r="K157" s="11">
        <f>tbl_Sales[[#This Row],[Units]] *tbl_Sales[[#This Row],[Unit Price]]</f>
        <v>1224</v>
      </c>
      <c r="L157" s="4">
        <f>_xlfn.XLOOKUP(tbl_Sales[[#This Row],[Order ID]], [1]!Discount_tbl[Order ID], [1]!Discount_tbl[Discount %], 0)</f>
        <v>0</v>
      </c>
      <c r="M157" s="4">
        <f>tbl_Sales[[#This Row],[discount]]/100</f>
        <v>0</v>
      </c>
      <c r="N157" s="11">
        <f>(1-tbl_Sales[[#This Row],[Discount Percentage]]) * tbl_Sales[[#This Row],[Net Revenue]]</f>
        <v>1224</v>
      </c>
    </row>
    <row r="158" spans="1:14" x14ac:dyDescent="0.2">
      <c r="A158" s="4" t="s">
        <v>319</v>
      </c>
      <c r="B158" s="5">
        <v>45955</v>
      </c>
      <c r="C158" s="4" t="s">
        <v>75</v>
      </c>
      <c r="D158" s="4" t="s">
        <v>43</v>
      </c>
      <c r="E158" s="4" t="s">
        <v>34</v>
      </c>
      <c r="F158" s="4" t="s">
        <v>39</v>
      </c>
      <c r="G158" s="4" t="s">
        <v>40</v>
      </c>
      <c r="H158" s="4">
        <v>7</v>
      </c>
      <c r="I158" s="10">
        <v>44</v>
      </c>
      <c r="J158" s="4" t="s">
        <v>35</v>
      </c>
      <c r="K158" s="11">
        <f>tbl_Sales[[#This Row],[Units]] *tbl_Sales[[#This Row],[Unit Price]]</f>
        <v>308</v>
      </c>
      <c r="L158" s="4">
        <f>_xlfn.XLOOKUP(tbl_Sales[[#This Row],[Order ID]], [1]!Discount_tbl[Order ID], [1]!Discount_tbl[Discount %], 0)</f>
        <v>0</v>
      </c>
      <c r="M158" s="4">
        <f>tbl_Sales[[#This Row],[discount]]/100</f>
        <v>0</v>
      </c>
      <c r="N158" s="11">
        <f>(1-tbl_Sales[[#This Row],[Discount Percentage]]) * tbl_Sales[[#This Row],[Net Revenue]]</f>
        <v>308</v>
      </c>
    </row>
    <row r="159" spans="1:14" x14ac:dyDescent="0.2">
      <c r="A159" s="4" t="s">
        <v>320</v>
      </c>
      <c r="B159" s="5">
        <v>45962</v>
      </c>
      <c r="C159" s="4" t="s">
        <v>215</v>
      </c>
      <c r="D159" s="4" t="s">
        <v>43</v>
      </c>
      <c r="E159" s="4" t="s">
        <v>34</v>
      </c>
      <c r="F159" s="4" t="s">
        <v>24</v>
      </c>
      <c r="G159" s="4" t="s">
        <v>17</v>
      </c>
      <c r="H159" s="4">
        <v>21</v>
      </c>
      <c r="I159" s="10">
        <v>68</v>
      </c>
      <c r="J159" s="4" t="s">
        <v>48</v>
      </c>
      <c r="K159" s="11">
        <f>tbl_Sales[[#This Row],[Units]] *tbl_Sales[[#This Row],[Unit Price]]</f>
        <v>1428</v>
      </c>
      <c r="L159" s="4">
        <f>_xlfn.XLOOKUP(tbl_Sales[[#This Row],[Order ID]], [1]!Discount_tbl[Order ID], [1]!Discount_tbl[Discount %], 0)</f>
        <v>0</v>
      </c>
      <c r="M159" s="4">
        <f>tbl_Sales[[#This Row],[discount]]/100</f>
        <v>0</v>
      </c>
      <c r="N159" s="11">
        <f>(1-tbl_Sales[[#This Row],[Discount Percentage]]) * tbl_Sales[[#This Row],[Net Revenue]]</f>
        <v>1428</v>
      </c>
    </row>
    <row r="160" spans="1:14" x14ac:dyDescent="0.2">
      <c r="A160" s="4" t="s">
        <v>321</v>
      </c>
      <c r="B160" s="5">
        <v>45979</v>
      </c>
      <c r="C160" s="4" t="s">
        <v>109</v>
      </c>
      <c r="D160" s="4" t="s">
        <v>43</v>
      </c>
      <c r="E160" s="4" t="s">
        <v>15</v>
      </c>
      <c r="F160" s="4" t="s">
        <v>24</v>
      </c>
      <c r="G160" s="4" t="s">
        <v>17</v>
      </c>
      <c r="H160" s="4">
        <v>29</v>
      </c>
      <c r="I160" s="10">
        <v>68</v>
      </c>
      <c r="J160" s="4" t="s">
        <v>48</v>
      </c>
      <c r="K160" s="11">
        <f>tbl_Sales[[#This Row],[Units]] *tbl_Sales[[#This Row],[Unit Price]]</f>
        <v>1972</v>
      </c>
      <c r="L160" s="4">
        <f>_xlfn.XLOOKUP(tbl_Sales[[#This Row],[Order ID]], [1]!Discount_tbl[Order ID], [1]!Discount_tbl[Discount %], 0)</f>
        <v>0</v>
      </c>
      <c r="M160" s="4">
        <f>tbl_Sales[[#This Row],[discount]]/100</f>
        <v>0</v>
      </c>
      <c r="N160" s="11">
        <f>(1-tbl_Sales[[#This Row],[Discount Percentage]]) * tbl_Sales[[#This Row],[Net Revenue]]</f>
        <v>1972</v>
      </c>
    </row>
    <row r="161" spans="1:14" x14ac:dyDescent="0.2">
      <c r="A161" s="4" t="s">
        <v>322</v>
      </c>
      <c r="B161" s="5">
        <v>45946</v>
      </c>
      <c r="C161" s="4" t="s">
        <v>54</v>
      </c>
      <c r="D161" s="4" t="s">
        <v>43</v>
      </c>
      <c r="E161" s="4" t="s">
        <v>15</v>
      </c>
      <c r="F161" s="4" t="s">
        <v>51</v>
      </c>
      <c r="G161" s="4" t="s">
        <v>30</v>
      </c>
      <c r="H161" s="4">
        <v>28</v>
      </c>
      <c r="I161" s="10">
        <v>340</v>
      </c>
      <c r="J161" s="4" t="s">
        <v>19</v>
      </c>
      <c r="K161" s="11">
        <f>tbl_Sales[[#This Row],[Units]] *tbl_Sales[[#This Row],[Unit Price]]</f>
        <v>9520</v>
      </c>
      <c r="L161" s="4">
        <f>_xlfn.XLOOKUP(tbl_Sales[[#This Row],[Order ID]], [1]!Discount_tbl[Order ID], [1]!Discount_tbl[Discount %], 0)</f>
        <v>0</v>
      </c>
      <c r="M161" s="4">
        <f>tbl_Sales[[#This Row],[discount]]/100</f>
        <v>0</v>
      </c>
      <c r="N161" s="11">
        <f>(1-tbl_Sales[[#This Row],[Discount Percentage]]) * tbl_Sales[[#This Row],[Net Revenue]]</f>
        <v>9520</v>
      </c>
    </row>
    <row r="162" spans="1:14" x14ac:dyDescent="0.2">
      <c r="A162" s="4" t="s">
        <v>323</v>
      </c>
      <c r="B162" s="5">
        <v>45950</v>
      </c>
      <c r="C162" s="4" t="s">
        <v>42</v>
      </c>
      <c r="D162" s="4" t="s">
        <v>43</v>
      </c>
      <c r="E162" s="4" t="s">
        <v>23</v>
      </c>
      <c r="F162" s="4" t="s">
        <v>51</v>
      </c>
      <c r="G162" s="4" t="s">
        <v>30</v>
      </c>
      <c r="H162" s="4">
        <v>35</v>
      </c>
      <c r="I162" s="10">
        <v>340</v>
      </c>
      <c r="J162" s="4" t="s">
        <v>82</v>
      </c>
      <c r="K162" s="11">
        <f>tbl_Sales[[#This Row],[Units]] *tbl_Sales[[#This Row],[Unit Price]]</f>
        <v>11900</v>
      </c>
      <c r="L162" s="4">
        <f>_xlfn.XLOOKUP(tbl_Sales[[#This Row],[Order ID]], [1]!Discount_tbl[Order ID], [1]!Discount_tbl[Discount %], 0)</f>
        <v>0</v>
      </c>
      <c r="M162" s="4">
        <f>tbl_Sales[[#This Row],[discount]]/100</f>
        <v>0</v>
      </c>
      <c r="N162" s="11">
        <f>(1-tbl_Sales[[#This Row],[Discount Percentage]]) * tbl_Sales[[#This Row],[Net Revenue]]</f>
        <v>11900</v>
      </c>
    </row>
    <row r="163" spans="1:14" x14ac:dyDescent="0.2">
      <c r="A163" s="4" t="s">
        <v>325</v>
      </c>
      <c r="B163" s="5">
        <v>45956</v>
      </c>
      <c r="C163" s="4" t="s">
        <v>87</v>
      </c>
      <c r="D163" s="4" t="s">
        <v>60</v>
      </c>
      <c r="E163" s="4" t="s">
        <v>34</v>
      </c>
      <c r="F163" s="4" t="s">
        <v>47</v>
      </c>
      <c r="G163" s="4" t="s">
        <v>40</v>
      </c>
      <c r="H163" s="4">
        <v>31</v>
      </c>
      <c r="I163" s="10">
        <v>21.99</v>
      </c>
      <c r="J163" s="4" t="s">
        <v>25</v>
      </c>
      <c r="K163" s="11">
        <f>tbl_Sales[[#This Row],[Units]] *tbl_Sales[[#This Row],[Unit Price]]</f>
        <v>681.68999999999994</v>
      </c>
      <c r="L163" s="4">
        <f>_xlfn.XLOOKUP(tbl_Sales[[#This Row],[Order ID]], [1]!Discount_tbl[Order ID], [1]!Discount_tbl[Discount %], 0)</f>
        <v>5</v>
      </c>
      <c r="M163" s="4">
        <f>tbl_Sales[[#This Row],[discount]]/100</f>
        <v>0.05</v>
      </c>
      <c r="N163" s="11">
        <f>(1-tbl_Sales[[#This Row],[Discount Percentage]]) * tbl_Sales[[#This Row],[Net Revenue]]</f>
        <v>647.60549999999989</v>
      </c>
    </row>
    <row r="164" spans="1:14" x14ac:dyDescent="0.2">
      <c r="A164" s="4" t="s">
        <v>326</v>
      </c>
      <c r="B164" s="5">
        <v>46000</v>
      </c>
      <c r="C164" s="4" t="s">
        <v>54</v>
      </c>
      <c r="D164" s="4" t="s">
        <v>43</v>
      </c>
      <c r="E164" s="4" t="s">
        <v>23</v>
      </c>
      <c r="F164" s="4" t="s">
        <v>68</v>
      </c>
      <c r="G164" s="4" t="s">
        <v>69</v>
      </c>
      <c r="H164" s="4">
        <v>9</v>
      </c>
      <c r="I164" s="10">
        <v>18.399999999999999</v>
      </c>
      <c r="J164" s="4" t="s">
        <v>19</v>
      </c>
      <c r="K164" s="11">
        <f>tbl_Sales[[#This Row],[Units]] *tbl_Sales[[#This Row],[Unit Price]]</f>
        <v>165.6</v>
      </c>
      <c r="L164" s="4">
        <f>_xlfn.XLOOKUP(tbl_Sales[[#This Row],[Order ID]], [1]!Discount_tbl[Order ID], [1]!Discount_tbl[Discount %], 0)</f>
        <v>0</v>
      </c>
      <c r="M164" s="4">
        <f>tbl_Sales[[#This Row],[discount]]/100</f>
        <v>0</v>
      </c>
      <c r="N164" s="11">
        <f>(1-tbl_Sales[[#This Row],[Discount Percentage]]) * tbl_Sales[[#This Row],[Net Revenue]]</f>
        <v>165.6</v>
      </c>
    </row>
    <row r="165" spans="1:14" x14ac:dyDescent="0.2">
      <c r="A165" s="4" t="s">
        <v>327</v>
      </c>
      <c r="B165" s="5">
        <v>46003</v>
      </c>
      <c r="C165" s="4" t="s">
        <v>328</v>
      </c>
      <c r="D165" s="4" t="s">
        <v>43</v>
      </c>
      <c r="E165" s="4" t="s">
        <v>34</v>
      </c>
      <c r="F165" s="4" t="s">
        <v>122</v>
      </c>
      <c r="G165" s="4" t="s">
        <v>69</v>
      </c>
      <c r="H165" s="4">
        <v>21</v>
      </c>
      <c r="I165" s="10">
        <v>12.25</v>
      </c>
      <c r="J165" s="4" t="s">
        <v>82</v>
      </c>
      <c r="K165" s="11">
        <f>tbl_Sales[[#This Row],[Units]] *tbl_Sales[[#This Row],[Unit Price]]</f>
        <v>257.25</v>
      </c>
      <c r="L165" s="4">
        <f>_xlfn.XLOOKUP(tbl_Sales[[#This Row],[Order ID]], [1]!Discount_tbl[Order ID], [1]!Discount_tbl[Discount %], 0)</f>
        <v>0</v>
      </c>
      <c r="M165" s="4">
        <f>tbl_Sales[[#This Row],[discount]]/100</f>
        <v>0</v>
      </c>
      <c r="N165" s="11">
        <f>(1-tbl_Sales[[#This Row],[Discount Percentage]]) * tbl_Sales[[#This Row],[Net Revenue]]</f>
        <v>257.25</v>
      </c>
    </row>
    <row r="166" spans="1:14" x14ac:dyDescent="0.2">
      <c r="A166" s="4" t="s">
        <v>329</v>
      </c>
      <c r="B166" s="5">
        <v>45993</v>
      </c>
      <c r="C166" s="4" t="s">
        <v>32</v>
      </c>
      <c r="D166" s="4" t="s">
        <v>43</v>
      </c>
      <c r="E166" s="4" t="s">
        <v>28</v>
      </c>
      <c r="F166" s="4" t="s">
        <v>29</v>
      </c>
      <c r="G166" s="4" t="s">
        <v>30</v>
      </c>
      <c r="H166" s="4">
        <v>40</v>
      </c>
      <c r="I166" s="10">
        <v>76.5</v>
      </c>
      <c r="J166" s="4" t="s">
        <v>19</v>
      </c>
      <c r="K166" s="11">
        <f>tbl_Sales[[#This Row],[Units]] *tbl_Sales[[#This Row],[Unit Price]]</f>
        <v>3060</v>
      </c>
      <c r="L166" s="4">
        <f>_xlfn.XLOOKUP(tbl_Sales[[#This Row],[Order ID]], [1]!Discount_tbl[Order ID], [1]!Discount_tbl[Discount %], 0)</f>
        <v>0</v>
      </c>
      <c r="M166" s="4">
        <f>tbl_Sales[[#This Row],[discount]]/100</f>
        <v>0</v>
      </c>
      <c r="N166" s="11">
        <f>(1-tbl_Sales[[#This Row],[Discount Percentage]]) * tbl_Sales[[#This Row],[Net Revenue]]</f>
        <v>3060</v>
      </c>
    </row>
    <row r="167" spans="1:14" x14ac:dyDescent="0.2">
      <c r="A167" s="4" t="s">
        <v>330</v>
      </c>
      <c r="B167" s="5">
        <v>46018</v>
      </c>
      <c r="C167" s="4" t="s">
        <v>42</v>
      </c>
      <c r="D167" s="4" t="s">
        <v>33</v>
      </c>
      <c r="E167" s="4" t="s">
        <v>343</v>
      </c>
      <c r="F167" s="4" t="s">
        <v>68</v>
      </c>
      <c r="G167" s="4" t="s">
        <v>69</v>
      </c>
      <c r="H167" s="4">
        <v>5</v>
      </c>
      <c r="I167" s="10">
        <v>18.399999999999999</v>
      </c>
      <c r="J167" s="4" t="s">
        <v>82</v>
      </c>
      <c r="K167" s="11">
        <f>tbl_Sales[[#This Row],[Units]] *tbl_Sales[[#This Row],[Unit Price]]</f>
        <v>92</v>
      </c>
      <c r="L167" s="4">
        <f>_xlfn.XLOOKUP(tbl_Sales[[#This Row],[Order ID]], [1]!Discount_tbl[Order ID], [1]!Discount_tbl[Discount %], 0)</f>
        <v>0</v>
      </c>
      <c r="M167" s="4">
        <f>tbl_Sales[[#This Row],[discount]]/100</f>
        <v>0</v>
      </c>
      <c r="N167" s="11">
        <f>(1-tbl_Sales[[#This Row],[Discount Percentage]]) * tbl_Sales[[#This Row],[Net Revenue]]</f>
        <v>92</v>
      </c>
    </row>
    <row r="168" spans="1:14" x14ac:dyDescent="0.2">
      <c r="A168" s="4" t="s">
        <v>331</v>
      </c>
      <c r="B168" s="5">
        <v>45936</v>
      </c>
      <c r="C168" s="4" t="s">
        <v>98</v>
      </c>
      <c r="D168" s="4" t="s">
        <v>33</v>
      </c>
      <c r="E168" s="4" t="s">
        <v>15</v>
      </c>
      <c r="F168" s="4" t="s">
        <v>39</v>
      </c>
      <c r="G168" s="4" t="s">
        <v>40</v>
      </c>
      <c r="H168" s="4">
        <v>12</v>
      </c>
      <c r="I168" s="10">
        <v>44</v>
      </c>
      <c r="J168" s="4" t="s">
        <v>48</v>
      </c>
      <c r="K168" s="11">
        <f>tbl_Sales[[#This Row],[Units]] *tbl_Sales[[#This Row],[Unit Price]]</f>
        <v>528</v>
      </c>
      <c r="L168" s="4">
        <f>_xlfn.XLOOKUP(tbl_Sales[[#This Row],[Order ID]], [1]!Discount_tbl[Order ID], [1]!Discount_tbl[Discount %], 0)</f>
        <v>5</v>
      </c>
      <c r="M168" s="4">
        <f>tbl_Sales[[#This Row],[discount]]/100</f>
        <v>0.05</v>
      </c>
      <c r="N168" s="11">
        <f>(1-tbl_Sales[[#This Row],[Discount Percentage]]) * tbl_Sales[[#This Row],[Net Revenue]]</f>
        <v>501.59999999999997</v>
      </c>
    </row>
    <row r="169" spans="1:14" x14ac:dyDescent="0.2">
      <c r="A169" s="4" t="s">
        <v>333</v>
      </c>
      <c r="B169" s="5">
        <v>45977</v>
      </c>
      <c r="C169" s="4" t="s">
        <v>215</v>
      </c>
      <c r="D169" s="4" t="s">
        <v>60</v>
      </c>
      <c r="E169" s="4" t="s">
        <v>28</v>
      </c>
      <c r="F169" s="4" t="s">
        <v>51</v>
      </c>
      <c r="G169" s="4" t="s">
        <v>30</v>
      </c>
      <c r="H169" s="4">
        <v>22</v>
      </c>
      <c r="I169" s="10">
        <v>340</v>
      </c>
      <c r="J169" s="4" t="s">
        <v>48</v>
      </c>
      <c r="K169" s="11">
        <f>tbl_Sales[[#This Row],[Units]] *tbl_Sales[[#This Row],[Unit Price]]</f>
        <v>7480</v>
      </c>
      <c r="L169" s="4">
        <f>_xlfn.XLOOKUP(tbl_Sales[[#This Row],[Order ID]], [1]!Discount_tbl[Order ID], [1]!Discount_tbl[Discount %], 0)</f>
        <v>0</v>
      </c>
      <c r="M169" s="4">
        <f>tbl_Sales[[#This Row],[discount]]/100</f>
        <v>0</v>
      </c>
      <c r="N169" s="11">
        <f>(1-tbl_Sales[[#This Row],[Discount Percentage]]) * tbl_Sales[[#This Row],[Net Revenue]]</f>
        <v>7480</v>
      </c>
    </row>
    <row r="170" spans="1:14" x14ac:dyDescent="0.2">
      <c r="A170" s="4"/>
      <c r="B170" s="5"/>
      <c r="C170" s="4"/>
      <c r="D170" s="20"/>
      <c r="E170" s="4"/>
      <c r="F170" s="4"/>
      <c r="G170" s="4"/>
      <c r="H170" s="21"/>
      <c r="I170" s="10"/>
      <c r="J170" s="4"/>
      <c r="K170" s="11">
        <f>SUM(tbl_Sales[Net Revenue])</f>
        <v>313527.3</v>
      </c>
      <c r="N170" s="18">
        <f>SUM(tbl_Sales[Actual Revenue])</f>
        <v>304558.49699999986</v>
      </c>
    </row>
  </sheetData>
  <conditionalFormatting sqref="P9:P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:T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6076-16D5-FB4E-9B94-B05932834EBB}">
  <dimension ref="A1:J191"/>
  <sheetViews>
    <sheetView workbookViewId="0">
      <selection activeCell="K23" sqref="K23"/>
    </sheetView>
  </sheetViews>
  <sheetFormatPr baseColWidth="10" defaultColWidth="8.83203125" defaultRowHeight="15" x14ac:dyDescent="0.2"/>
  <cols>
    <col min="1" max="1" width="11" customWidth="1"/>
    <col min="2" max="2" width="13" customWidth="1"/>
    <col min="3" max="3" width="24" customWidth="1"/>
    <col min="4" max="4" width="12" customWidth="1"/>
    <col min="5" max="5" width="16" customWidth="1"/>
    <col min="6" max="6" width="28" customWidth="1"/>
    <col min="7" max="7" width="13" customWidth="1"/>
    <col min="8" max="8" width="9" customWidth="1"/>
    <col min="9" max="9" width="11" customWidth="1"/>
    <col min="10" max="10" width="15" customWidth="1"/>
  </cols>
  <sheetData>
    <row r="1" spans="1:10" ht="16" x14ac:dyDescent="0.2">
      <c r="A1" s="1" t="s">
        <v>0</v>
      </c>
    </row>
    <row r="2" spans="1:10" x14ac:dyDescent="0.2">
      <c r="A2" s="2" t="s">
        <v>1</v>
      </c>
    </row>
    <row r="4" spans="1:10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5">
        <v>45938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>
        <v>16</v>
      </c>
      <c r="I5" s="4" t="s">
        <v>18</v>
      </c>
      <c r="J5" s="4" t="s">
        <v>19</v>
      </c>
    </row>
    <row r="6" spans="1:10" x14ac:dyDescent="0.2">
      <c r="A6" s="4" t="s">
        <v>20</v>
      </c>
      <c r="B6" s="5">
        <v>45984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17</v>
      </c>
      <c r="H6" s="4">
        <v>30</v>
      </c>
      <c r="I6" s="6">
        <v>68</v>
      </c>
      <c r="J6" s="4" t="s">
        <v>25</v>
      </c>
    </row>
    <row r="7" spans="1:10" x14ac:dyDescent="0.2">
      <c r="A7" s="4" t="s">
        <v>26</v>
      </c>
      <c r="B7" s="5">
        <v>45972</v>
      </c>
      <c r="C7" s="4" t="s">
        <v>21</v>
      </c>
      <c r="D7" s="4" t="s">
        <v>27</v>
      </c>
      <c r="E7" s="4" t="s">
        <v>28</v>
      </c>
      <c r="F7" s="4" t="s">
        <v>29</v>
      </c>
      <c r="G7" s="4" t="s">
        <v>30</v>
      </c>
      <c r="H7" s="4">
        <v>10</v>
      </c>
      <c r="I7" s="6">
        <v>76.5</v>
      </c>
      <c r="J7" s="4" t="s">
        <v>19</v>
      </c>
    </row>
    <row r="8" spans="1:10" x14ac:dyDescent="0.2">
      <c r="A8" s="4" t="s">
        <v>31</v>
      </c>
      <c r="B8" s="5">
        <v>45948</v>
      </c>
      <c r="C8" s="4" t="s">
        <v>32</v>
      </c>
      <c r="D8" s="4" t="s">
        <v>33</v>
      </c>
      <c r="E8" s="4" t="s">
        <v>34</v>
      </c>
      <c r="F8" s="4" t="s">
        <v>24</v>
      </c>
      <c r="G8" s="4" t="s">
        <v>17</v>
      </c>
      <c r="H8" s="4">
        <v>37</v>
      </c>
      <c r="I8" s="6">
        <v>68</v>
      </c>
      <c r="J8" s="4" t="s">
        <v>35</v>
      </c>
    </row>
    <row r="9" spans="1:10" x14ac:dyDescent="0.2">
      <c r="A9" s="4" t="s">
        <v>36</v>
      </c>
      <c r="B9" s="5">
        <v>46014</v>
      </c>
      <c r="C9" s="4" t="s">
        <v>37</v>
      </c>
      <c r="D9" s="4" t="s">
        <v>38</v>
      </c>
      <c r="E9" s="4" t="s">
        <v>28</v>
      </c>
      <c r="F9" s="4" t="s">
        <v>39</v>
      </c>
      <c r="G9" s="4" t="s">
        <v>40</v>
      </c>
      <c r="H9" s="4">
        <v>23</v>
      </c>
      <c r="I9" s="6">
        <v>44</v>
      </c>
      <c r="J9" s="4" t="s">
        <v>19</v>
      </c>
    </row>
    <row r="10" spans="1:10" x14ac:dyDescent="0.2">
      <c r="A10" s="4" t="s">
        <v>41</v>
      </c>
      <c r="B10" s="5">
        <v>45983</v>
      </c>
      <c r="C10" s="4" t="s">
        <v>42</v>
      </c>
      <c r="D10" s="4" t="s">
        <v>43</v>
      </c>
      <c r="E10" s="4" t="s">
        <v>44</v>
      </c>
      <c r="F10" s="4" t="s">
        <v>39</v>
      </c>
      <c r="G10" s="4" t="s">
        <v>40</v>
      </c>
      <c r="H10" s="4">
        <v>19</v>
      </c>
      <c r="I10" s="6">
        <v>44</v>
      </c>
      <c r="J10" s="4" t="s">
        <v>35</v>
      </c>
    </row>
    <row r="11" spans="1:10" x14ac:dyDescent="0.2">
      <c r="A11" s="4" t="s">
        <v>45</v>
      </c>
      <c r="B11" s="5">
        <v>46001</v>
      </c>
      <c r="C11" s="4" t="s">
        <v>46</v>
      </c>
      <c r="D11" s="4" t="s">
        <v>38</v>
      </c>
      <c r="E11" s="4" t="s">
        <v>28</v>
      </c>
      <c r="F11" s="4" t="s">
        <v>47</v>
      </c>
      <c r="G11" s="4" t="s">
        <v>40</v>
      </c>
      <c r="H11" s="4">
        <v>9</v>
      </c>
      <c r="I11" s="6">
        <v>21.99</v>
      </c>
      <c r="J11" s="4" t="s">
        <v>48</v>
      </c>
    </row>
    <row r="12" spans="1:10" x14ac:dyDescent="0.2">
      <c r="A12" s="4" t="s">
        <v>49</v>
      </c>
      <c r="B12" s="5">
        <v>45973</v>
      </c>
      <c r="C12" s="4" t="s">
        <v>50</v>
      </c>
      <c r="D12" s="4" t="s">
        <v>27</v>
      </c>
      <c r="E12" s="4"/>
      <c r="F12" s="4" t="s">
        <v>51</v>
      </c>
      <c r="G12" s="4" t="s">
        <v>30</v>
      </c>
      <c r="H12" s="4">
        <v>25</v>
      </c>
      <c r="I12" s="4" t="s">
        <v>52</v>
      </c>
      <c r="J12" s="4" t="s">
        <v>19</v>
      </c>
    </row>
    <row r="13" spans="1:10" x14ac:dyDescent="0.2">
      <c r="A13" s="4" t="s">
        <v>53</v>
      </c>
      <c r="B13" s="5">
        <v>45942</v>
      </c>
      <c r="C13" s="4" t="s">
        <v>54</v>
      </c>
      <c r="D13" s="4" t="s">
        <v>33</v>
      </c>
      <c r="E13" s="4"/>
      <c r="F13" s="4" t="s">
        <v>24</v>
      </c>
      <c r="G13" s="4" t="s">
        <v>17</v>
      </c>
      <c r="H13" s="4">
        <v>15</v>
      </c>
      <c r="I13" s="6">
        <v>68</v>
      </c>
      <c r="J13" s="4" t="s">
        <v>48</v>
      </c>
    </row>
    <row r="14" spans="1:10" x14ac:dyDescent="0.2">
      <c r="A14" s="4" t="s">
        <v>55</v>
      </c>
      <c r="B14" s="4" t="s">
        <v>56</v>
      </c>
      <c r="C14" s="4" t="s">
        <v>57</v>
      </c>
      <c r="D14" s="4" t="s">
        <v>33</v>
      </c>
      <c r="E14" s="4" t="s">
        <v>58</v>
      </c>
      <c r="F14" s="4" t="s">
        <v>51</v>
      </c>
      <c r="G14" s="4" t="s">
        <v>30</v>
      </c>
      <c r="H14" s="4">
        <v>39</v>
      </c>
      <c r="I14" s="6">
        <v>340</v>
      </c>
      <c r="J14" s="4" t="s">
        <v>48</v>
      </c>
    </row>
    <row r="15" spans="1:10" x14ac:dyDescent="0.2">
      <c r="A15" s="4" t="s">
        <v>59</v>
      </c>
      <c r="B15" s="5">
        <v>45977</v>
      </c>
      <c r="C15" s="4" t="s">
        <v>32</v>
      </c>
      <c r="D15" s="4" t="s">
        <v>60</v>
      </c>
      <c r="E15" s="4" t="s">
        <v>44</v>
      </c>
      <c r="F15" s="4" t="s">
        <v>29</v>
      </c>
      <c r="G15" s="4" t="s">
        <v>30</v>
      </c>
      <c r="H15" s="4">
        <v>18</v>
      </c>
      <c r="I15" s="6">
        <v>76.5</v>
      </c>
      <c r="J15" s="4" t="s">
        <v>35</v>
      </c>
    </row>
    <row r="16" spans="1:10" x14ac:dyDescent="0.2">
      <c r="A16" s="4" t="s">
        <v>61</v>
      </c>
      <c r="B16" s="5">
        <v>45991</v>
      </c>
      <c r="C16" s="4" t="s">
        <v>37</v>
      </c>
      <c r="D16" s="4" t="s">
        <v>62</v>
      </c>
      <c r="E16" s="4" t="s">
        <v>63</v>
      </c>
      <c r="F16" s="4" t="s">
        <v>16</v>
      </c>
      <c r="G16" s="4" t="s">
        <v>17</v>
      </c>
      <c r="H16" s="4">
        <v>4</v>
      </c>
      <c r="I16" s="4" t="s">
        <v>18</v>
      </c>
      <c r="J16" s="4" t="s">
        <v>19</v>
      </c>
    </row>
    <row r="17" spans="1:10" x14ac:dyDescent="0.2">
      <c r="A17" s="4" t="s">
        <v>64</v>
      </c>
      <c r="B17" s="5">
        <v>45994</v>
      </c>
      <c r="C17" s="4" t="s">
        <v>57</v>
      </c>
      <c r="D17" s="4" t="s">
        <v>62</v>
      </c>
      <c r="E17" s="4"/>
      <c r="F17" s="4" t="s">
        <v>16</v>
      </c>
      <c r="G17" s="4" t="s">
        <v>17</v>
      </c>
      <c r="H17" s="4">
        <v>40</v>
      </c>
      <c r="I17" s="6">
        <v>94.75</v>
      </c>
      <c r="J17" s="4" t="s">
        <v>48</v>
      </c>
    </row>
    <row r="18" spans="1:10" x14ac:dyDescent="0.2">
      <c r="A18" s="4" t="s">
        <v>65</v>
      </c>
      <c r="B18" s="4" t="s">
        <v>66</v>
      </c>
      <c r="C18" s="4" t="s">
        <v>57</v>
      </c>
      <c r="D18" s="4" t="s">
        <v>67</v>
      </c>
      <c r="E18" s="4" t="s">
        <v>63</v>
      </c>
      <c r="F18" s="4" t="s">
        <v>68</v>
      </c>
      <c r="G18" s="4" t="s">
        <v>69</v>
      </c>
      <c r="H18" s="4">
        <v>5</v>
      </c>
      <c r="I18" s="6">
        <v>18.399999999999999</v>
      </c>
      <c r="J18" s="4" t="s">
        <v>35</v>
      </c>
    </row>
    <row r="19" spans="1:10" x14ac:dyDescent="0.2">
      <c r="A19" s="4" t="s">
        <v>70</v>
      </c>
      <c r="B19" s="4" t="s">
        <v>71</v>
      </c>
      <c r="C19" s="4" t="s">
        <v>46</v>
      </c>
      <c r="D19" s="4" t="s">
        <v>33</v>
      </c>
      <c r="E19" s="4" t="s">
        <v>63</v>
      </c>
      <c r="F19" s="4" t="s">
        <v>68</v>
      </c>
      <c r="G19" s="4" t="s">
        <v>69</v>
      </c>
      <c r="H19" s="4">
        <v>21</v>
      </c>
      <c r="I19" s="6">
        <v>18.399999999999999</v>
      </c>
      <c r="J19" s="4" t="s">
        <v>35</v>
      </c>
    </row>
    <row r="20" spans="1:10" x14ac:dyDescent="0.2">
      <c r="A20" s="4" t="s">
        <v>72</v>
      </c>
      <c r="B20" s="5">
        <v>45969</v>
      </c>
      <c r="C20" s="4" t="s">
        <v>50</v>
      </c>
      <c r="D20" s="4" t="s">
        <v>67</v>
      </c>
      <c r="E20" s="4" t="s">
        <v>23</v>
      </c>
      <c r="F20" s="4" t="s">
        <v>47</v>
      </c>
      <c r="G20" s="4" t="s">
        <v>40</v>
      </c>
      <c r="H20" s="4">
        <v>6</v>
      </c>
      <c r="I20" s="6">
        <v>21.99</v>
      </c>
      <c r="J20" s="4" t="s">
        <v>19</v>
      </c>
    </row>
    <row r="21" spans="1:10" x14ac:dyDescent="0.2">
      <c r="A21" s="4" t="s">
        <v>73</v>
      </c>
      <c r="B21" s="4" t="s">
        <v>74</v>
      </c>
      <c r="C21" s="4" t="s">
        <v>75</v>
      </c>
      <c r="D21" s="4" t="s">
        <v>33</v>
      </c>
      <c r="E21" s="4" t="s">
        <v>23</v>
      </c>
      <c r="F21" s="4" t="s">
        <v>24</v>
      </c>
      <c r="G21" s="4" t="s">
        <v>17</v>
      </c>
      <c r="H21" s="4" t="s">
        <v>76</v>
      </c>
      <c r="I21" s="6">
        <v>68</v>
      </c>
      <c r="J21" s="4" t="s">
        <v>19</v>
      </c>
    </row>
    <row r="22" spans="1:10" x14ac:dyDescent="0.2">
      <c r="A22" s="4" t="s">
        <v>77</v>
      </c>
      <c r="B22" s="5">
        <v>45954</v>
      </c>
      <c r="C22" s="4" t="s">
        <v>78</v>
      </c>
      <c r="D22" s="4" t="s">
        <v>79</v>
      </c>
      <c r="E22" s="4" t="s">
        <v>34</v>
      </c>
      <c r="F22" s="4" t="s">
        <v>39</v>
      </c>
      <c r="G22" s="4" t="s">
        <v>40</v>
      </c>
      <c r="H22" s="4">
        <v>23</v>
      </c>
      <c r="I22" s="4" t="s">
        <v>80</v>
      </c>
      <c r="J22" s="4" t="s">
        <v>35</v>
      </c>
    </row>
    <row r="23" spans="1:10" x14ac:dyDescent="0.2">
      <c r="A23" s="4" t="s">
        <v>81</v>
      </c>
      <c r="B23" s="5">
        <v>45964</v>
      </c>
      <c r="C23" s="4" t="s">
        <v>78</v>
      </c>
      <c r="D23" s="4" t="s">
        <v>33</v>
      </c>
      <c r="E23" s="4" t="s">
        <v>28</v>
      </c>
      <c r="F23" s="4" t="s">
        <v>16</v>
      </c>
      <c r="G23" s="4" t="s">
        <v>17</v>
      </c>
      <c r="H23" s="4">
        <v>21</v>
      </c>
      <c r="I23" s="6">
        <v>94.75</v>
      </c>
      <c r="J23" s="4" t="s">
        <v>82</v>
      </c>
    </row>
    <row r="24" spans="1:10" x14ac:dyDescent="0.2">
      <c r="A24" s="4" t="s">
        <v>83</v>
      </c>
      <c r="B24" s="5">
        <v>45973</v>
      </c>
      <c r="C24" s="4" t="s">
        <v>75</v>
      </c>
      <c r="D24" s="4" t="s">
        <v>38</v>
      </c>
      <c r="E24" s="4"/>
      <c r="F24" s="4" t="s">
        <v>29</v>
      </c>
      <c r="G24" s="4" t="s">
        <v>30</v>
      </c>
      <c r="H24" s="4">
        <v>36</v>
      </c>
      <c r="I24" s="6">
        <v>76.5</v>
      </c>
      <c r="J24" s="4" t="s">
        <v>82</v>
      </c>
    </row>
    <row r="25" spans="1:10" x14ac:dyDescent="0.2">
      <c r="A25" s="4" t="s">
        <v>84</v>
      </c>
      <c r="B25" s="5">
        <v>46015</v>
      </c>
      <c r="C25" s="4" t="s">
        <v>54</v>
      </c>
      <c r="D25" s="4" t="s">
        <v>62</v>
      </c>
      <c r="E25" s="4" t="s">
        <v>63</v>
      </c>
      <c r="F25" s="4" t="s">
        <v>68</v>
      </c>
      <c r="G25" s="4" t="s">
        <v>69</v>
      </c>
      <c r="H25" s="4" t="s">
        <v>85</v>
      </c>
      <c r="I25" s="6">
        <v>18.399999999999999</v>
      </c>
      <c r="J25" s="4" t="s">
        <v>82</v>
      </c>
    </row>
    <row r="26" spans="1:10" x14ac:dyDescent="0.2">
      <c r="A26" s="4" t="s">
        <v>86</v>
      </c>
      <c r="B26" s="5">
        <v>45992</v>
      </c>
      <c r="C26" s="4" t="s">
        <v>87</v>
      </c>
      <c r="D26" s="4" t="s">
        <v>88</v>
      </c>
      <c r="E26" s="4" t="s">
        <v>89</v>
      </c>
      <c r="F26" s="4" t="s">
        <v>68</v>
      </c>
      <c r="G26" s="4" t="s">
        <v>69</v>
      </c>
      <c r="H26" s="4">
        <v>6</v>
      </c>
      <c r="I26" s="4" t="s">
        <v>90</v>
      </c>
      <c r="J26" s="4" t="s">
        <v>35</v>
      </c>
    </row>
    <row r="27" spans="1:10" x14ac:dyDescent="0.2">
      <c r="A27" s="4" t="s">
        <v>91</v>
      </c>
      <c r="B27" s="5">
        <v>46011</v>
      </c>
      <c r="C27" s="4" t="s">
        <v>32</v>
      </c>
      <c r="D27" s="4" t="s">
        <v>33</v>
      </c>
      <c r="E27" s="4" t="s">
        <v>58</v>
      </c>
      <c r="F27" s="4" t="s">
        <v>24</v>
      </c>
      <c r="G27" s="4" t="s">
        <v>17</v>
      </c>
      <c r="H27" s="4">
        <v>14</v>
      </c>
      <c r="I27" s="6">
        <v>68</v>
      </c>
      <c r="J27" s="4" t="s">
        <v>82</v>
      </c>
    </row>
    <row r="28" spans="1:10" x14ac:dyDescent="0.2">
      <c r="A28" s="4" t="s">
        <v>92</v>
      </c>
      <c r="B28" s="5">
        <v>45951</v>
      </c>
      <c r="C28" s="4" t="s">
        <v>37</v>
      </c>
      <c r="D28" s="4" t="s">
        <v>62</v>
      </c>
      <c r="E28" s="4" t="s">
        <v>28</v>
      </c>
      <c r="F28" s="4" t="s">
        <v>68</v>
      </c>
      <c r="G28" s="4" t="s">
        <v>69</v>
      </c>
      <c r="H28" s="4" t="s">
        <v>93</v>
      </c>
      <c r="I28" s="4" t="s">
        <v>90</v>
      </c>
      <c r="J28" s="4" t="s">
        <v>19</v>
      </c>
    </row>
    <row r="29" spans="1:10" x14ac:dyDescent="0.2">
      <c r="A29" s="4" t="s">
        <v>94</v>
      </c>
      <c r="B29" s="5">
        <v>45959</v>
      </c>
      <c r="C29" s="4" t="s">
        <v>95</v>
      </c>
      <c r="D29" s="4" t="s">
        <v>22</v>
      </c>
      <c r="E29" s="4" t="s">
        <v>28</v>
      </c>
      <c r="F29" s="4" t="s">
        <v>51</v>
      </c>
      <c r="G29" s="4" t="s">
        <v>30</v>
      </c>
      <c r="H29" s="4" t="s">
        <v>76</v>
      </c>
      <c r="I29" s="6">
        <v>340</v>
      </c>
      <c r="J29" s="4" t="s">
        <v>35</v>
      </c>
    </row>
    <row r="30" spans="1:10" x14ac:dyDescent="0.2">
      <c r="A30" s="4" t="s">
        <v>96</v>
      </c>
      <c r="B30" s="4" t="s">
        <v>97</v>
      </c>
      <c r="C30" s="4" t="s">
        <v>98</v>
      </c>
      <c r="D30" s="4" t="s">
        <v>62</v>
      </c>
      <c r="E30" s="4" t="s">
        <v>34</v>
      </c>
      <c r="F30" s="4" t="s">
        <v>29</v>
      </c>
      <c r="G30" s="4" t="s">
        <v>30</v>
      </c>
      <c r="H30" s="4" t="s">
        <v>99</v>
      </c>
      <c r="I30" s="6">
        <v>76.5</v>
      </c>
      <c r="J30" s="4" t="s">
        <v>25</v>
      </c>
    </row>
    <row r="31" spans="1:10" x14ac:dyDescent="0.2">
      <c r="A31" s="4" t="s">
        <v>100</v>
      </c>
      <c r="B31" s="5">
        <v>45936</v>
      </c>
      <c r="C31" s="4" t="s">
        <v>37</v>
      </c>
      <c r="D31" s="4" t="s">
        <v>22</v>
      </c>
      <c r="E31" s="4" t="s">
        <v>101</v>
      </c>
      <c r="F31" s="4" t="s">
        <v>102</v>
      </c>
      <c r="G31" s="4" t="s">
        <v>103</v>
      </c>
      <c r="H31" s="4">
        <v>20</v>
      </c>
      <c r="I31" s="6">
        <v>24.5</v>
      </c>
      <c r="J31" s="4" t="s">
        <v>48</v>
      </c>
    </row>
    <row r="32" spans="1:10" x14ac:dyDescent="0.2">
      <c r="A32" s="4" t="s">
        <v>104</v>
      </c>
      <c r="B32" s="5">
        <v>45943</v>
      </c>
      <c r="C32" s="4" t="s">
        <v>54</v>
      </c>
      <c r="D32" s="4" t="s">
        <v>105</v>
      </c>
      <c r="E32" s="4" t="s">
        <v>23</v>
      </c>
      <c r="F32" s="4" t="s">
        <v>102</v>
      </c>
      <c r="G32" s="4" t="s">
        <v>103</v>
      </c>
      <c r="H32" s="4">
        <v>14</v>
      </c>
      <c r="I32" s="6">
        <v>24.5</v>
      </c>
      <c r="J32" s="4" t="s">
        <v>25</v>
      </c>
    </row>
    <row r="33" spans="1:10" x14ac:dyDescent="0.2">
      <c r="A33" s="4" t="s">
        <v>106</v>
      </c>
      <c r="B33" s="5">
        <v>45988</v>
      </c>
      <c r="C33" s="4" t="s">
        <v>95</v>
      </c>
      <c r="D33" s="4" t="s">
        <v>60</v>
      </c>
      <c r="E33" s="4"/>
      <c r="F33" s="4" t="s">
        <v>39</v>
      </c>
      <c r="G33" s="4" t="s">
        <v>40</v>
      </c>
      <c r="H33" s="4" t="s">
        <v>107</v>
      </c>
      <c r="I33" s="6">
        <v>44</v>
      </c>
      <c r="J33" s="4" t="s">
        <v>35</v>
      </c>
    </row>
    <row r="34" spans="1:10" x14ac:dyDescent="0.2">
      <c r="A34" s="4" t="s">
        <v>108</v>
      </c>
      <c r="B34" s="5">
        <v>45997</v>
      </c>
      <c r="C34" s="4" t="s">
        <v>109</v>
      </c>
      <c r="D34" s="4" t="s">
        <v>110</v>
      </c>
      <c r="E34" s="4" t="s">
        <v>23</v>
      </c>
      <c r="F34" s="4" t="s">
        <v>47</v>
      </c>
      <c r="G34" s="4" t="s">
        <v>40</v>
      </c>
      <c r="H34" s="4">
        <v>35</v>
      </c>
      <c r="I34" s="6">
        <v>21.99</v>
      </c>
      <c r="J34" s="4" t="s">
        <v>19</v>
      </c>
    </row>
    <row r="35" spans="1:10" x14ac:dyDescent="0.2">
      <c r="A35" s="4" t="s">
        <v>111</v>
      </c>
      <c r="B35" s="5">
        <v>46004</v>
      </c>
      <c r="C35" s="4" t="s">
        <v>42</v>
      </c>
      <c r="D35" s="4" t="s">
        <v>67</v>
      </c>
      <c r="E35" s="4" t="s">
        <v>28</v>
      </c>
      <c r="F35" s="4" t="s">
        <v>16</v>
      </c>
      <c r="G35" s="4" t="s">
        <v>17</v>
      </c>
      <c r="H35" s="4" t="s">
        <v>76</v>
      </c>
      <c r="I35" s="4" t="s">
        <v>18</v>
      </c>
      <c r="J35" s="4" t="s">
        <v>19</v>
      </c>
    </row>
    <row r="36" spans="1:10" x14ac:dyDescent="0.2">
      <c r="A36" s="4" t="s">
        <v>112</v>
      </c>
      <c r="B36" s="5">
        <v>46004</v>
      </c>
      <c r="C36" s="4" t="s">
        <v>113</v>
      </c>
      <c r="D36" s="4" t="s">
        <v>27</v>
      </c>
      <c r="E36" s="4" t="s">
        <v>28</v>
      </c>
      <c r="F36" s="4" t="s">
        <v>29</v>
      </c>
      <c r="G36" s="4" t="s">
        <v>30</v>
      </c>
      <c r="H36" s="4" t="s">
        <v>114</v>
      </c>
      <c r="I36" s="4" t="s">
        <v>115</v>
      </c>
      <c r="J36" s="4" t="s">
        <v>35</v>
      </c>
    </row>
    <row r="37" spans="1:10" x14ac:dyDescent="0.2">
      <c r="A37" s="4" t="s">
        <v>116</v>
      </c>
      <c r="B37" s="5">
        <v>46002</v>
      </c>
      <c r="C37" s="4" t="s">
        <v>37</v>
      </c>
      <c r="D37" s="4" t="s">
        <v>22</v>
      </c>
      <c r="E37" s="4" t="s">
        <v>15</v>
      </c>
      <c r="F37" s="4" t="s">
        <v>102</v>
      </c>
      <c r="G37" s="4" t="s">
        <v>103</v>
      </c>
      <c r="H37" s="4">
        <v>7</v>
      </c>
      <c r="I37" s="6">
        <v>24.5</v>
      </c>
      <c r="J37" s="4" t="s">
        <v>48</v>
      </c>
    </row>
    <row r="38" spans="1:10" x14ac:dyDescent="0.2">
      <c r="A38" s="4" t="s">
        <v>117</v>
      </c>
      <c r="B38" s="5">
        <v>45981</v>
      </c>
      <c r="C38" s="4" t="s">
        <v>118</v>
      </c>
      <c r="D38" s="4" t="s">
        <v>22</v>
      </c>
      <c r="E38" s="4" t="s">
        <v>28</v>
      </c>
      <c r="F38" s="4" t="s">
        <v>119</v>
      </c>
      <c r="G38" s="4" t="s">
        <v>30</v>
      </c>
      <c r="H38" s="4">
        <v>33</v>
      </c>
      <c r="I38" s="6">
        <v>189</v>
      </c>
      <c r="J38" s="4" t="s">
        <v>25</v>
      </c>
    </row>
    <row r="39" spans="1:10" x14ac:dyDescent="0.2">
      <c r="A39" s="4" t="s">
        <v>120</v>
      </c>
      <c r="B39" s="5">
        <v>45947</v>
      </c>
      <c r="C39" s="4" t="s">
        <v>121</v>
      </c>
      <c r="D39" s="4" t="s">
        <v>88</v>
      </c>
      <c r="E39" s="4"/>
      <c r="F39" s="4" t="s">
        <v>122</v>
      </c>
      <c r="G39" s="4" t="s">
        <v>69</v>
      </c>
      <c r="H39" s="4" t="s">
        <v>123</v>
      </c>
      <c r="I39" s="6">
        <v>12.25</v>
      </c>
      <c r="J39" s="4" t="s">
        <v>25</v>
      </c>
    </row>
    <row r="40" spans="1:10" x14ac:dyDescent="0.2">
      <c r="A40" s="4" t="s">
        <v>124</v>
      </c>
      <c r="B40" s="5">
        <v>45940</v>
      </c>
      <c r="C40" s="4" t="s">
        <v>21</v>
      </c>
      <c r="D40" s="4" t="s">
        <v>62</v>
      </c>
      <c r="E40" s="4" t="s">
        <v>23</v>
      </c>
      <c r="F40" s="4" t="s">
        <v>119</v>
      </c>
      <c r="G40" s="4" t="s">
        <v>30</v>
      </c>
      <c r="H40" s="4">
        <v>30</v>
      </c>
      <c r="I40" s="6">
        <v>189</v>
      </c>
      <c r="J40" s="4" t="s">
        <v>35</v>
      </c>
    </row>
    <row r="41" spans="1:10" x14ac:dyDescent="0.2">
      <c r="A41" s="4" t="s">
        <v>125</v>
      </c>
      <c r="B41" s="5">
        <v>45990</v>
      </c>
      <c r="C41" s="4" t="s">
        <v>113</v>
      </c>
      <c r="D41" s="4" t="s">
        <v>43</v>
      </c>
      <c r="E41" s="4" t="s">
        <v>23</v>
      </c>
      <c r="F41" s="4" t="s">
        <v>16</v>
      </c>
      <c r="G41" s="4" t="s">
        <v>17</v>
      </c>
      <c r="H41" s="4">
        <v>10</v>
      </c>
      <c r="I41" s="6">
        <v>94.75</v>
      </c>
      <c r="J41" s="4" t="s">
        <v>48</v>
      </c>
    </row>
    <row r="42" spans="1:10" x14ac:dyDescent="0.2">
      <c r="A42" s="4" t="s">
        <v>126</v>
      </c>
      <c r="B42" s="5">
        <v>45979</v>
      </c>
      <c r="C42" s="4" t="s">
        <v>113</v>
      </c>
      <c r="D42" s="4" t="s">
        <v>62</v>
      </c>
      <c r="E42" s="4" t="s">
        <v>34</v>
      </c>
      <c r="F42" s="4" t="s">
        <v>51</v>
      </c>
      <c r="G42" s="4" t="s">
        <v>30</v>
      </c>
      <c r="H42" s="4">
        <v>10</v>
      </c>
      <c r="I42" s="6">
        <v>340</v>
      </c>
      <c r="J42" s="4" t="s">
        <v>25</v>
      </c>
    </row>
    <row r="43" spans="1:10" x14ac:dyDescent="0.2">
      <c r="A43" s="4" t="s">
        <v>127</v>
      </c>
      <c r="B43" s="5">
        <v>46018</v>
      </c>
      <c r="C43" s="4" t="s">
        <v>75</v>
      </c>
      <c r="D43" s="4" t="s">
        <v>105</v>
      </c>
      <c r="E43" s="4" t="s">
        <v>15</v>
      </c>
      <c r="F43" s="4" t="s">
        <v>102</v>
      </c>
      <c r="G43" s="4" t="s">
        <v>103</v>
      </c>
      <c r="H43" s="4" t="s">
        <v>76</v>
      </c>
      <c r="I43" s="4" t="s">
        <v>128</v>
      </c>
      <c r="J43" s="4" t="s">
        <v>35</v>
      </c>
    </row>
    <row r="44" spans="1:10" x14ac:dyDescent="0.2">
      <c r="A44" s="4" t="s">
        <v>129</v>
      </c>
      <c r="B44" s="5">
        <v>45962</v>
      </c>
      <c r="C44" s="4" t="s">
        <v>13</v>
      </c>
      <c r="D44" s="4" t="s">
        <v>79</v>
      </c>
      <c r="E44" s="4" t="s">
        <v>63</v>
      </c>
      <c r="F44" s="4" t="s">
        <v>68</v>
      </c>
      <c r="G44" s="4" t="s">
        <v>69</v>
      </c>
      <c r="H44" s="4" t="s">
        <v>130</v>
      </c>
      <c r="I44" s="6">
        <v>18.399999999999999</v>
      </c>
      <c r="J44" s="4" t="s">
        <v>35</v>
      </c>
    </row>
    <row r="45" spans="1:10" x14ac:dyDescent="0.2">
      <c r="A45" s="4" t="s">
        <v>131</v>
      </c>
      <c r="B45" s="5">
        <v>45960</v>
      </c>
      <c r="C45" s="4" t="s">
        <v>46</v>
      </c>
      <c r="D45" s="4" t="s">
        <v>105</v>
      </c>
      <c r="E45" s="4" t="s">
        <v>23</v>
      </c>
      <c r="F45" s="4" t="s">
        <v>119</v>
      </c>
      <c r="G45" s="4" t="s">
        <v>30</v>
      </c>
      <c r="H45" s="4">
        <v>26</v>
      </c>
      <c r="I45" s="6">
        <v>189</v>
      </c>
      <c r="J45" s="4" t="s">
        <v>35</v>
      </c>
    </row>
    <row r="46" spans="1:10" x14ac:dyDescent="0.2">
      <c r="A46" s="4" t="s">
        <v>132</v>
      </c>
      <c r="B46" s="4" t="s">
        <v>133</v>
      </c>
      <c r="C46" s="4" t="s">
        <v>113</v>
      </c>
      <c r="D46" s="4" t="s">
        <v>134</v>
      </c>
      <c r="E46" s="4" t="s">
        <v>23</v>
      </c>
      <c r="F46" s="4" t="s">
        <v>29</v>
      </c>
      <c r="G46" s="4" t="s">
        <v>30</v>
      </c>
      <c r="H46" s="4">
        <v>20</v>
      </c>
      <c r="I46" s="6">
        <v>76.5</v>
      </c>
      <c r="J46" s="4" t="s">
        <v>48</v>
      </c>
    </row>
    <row r="47" spans="1:10" x14ac:dyDescent="0.2">
      <c r="A47" s="4" t="s">
        <v>135</v>
      </c>
      <c r="B47" s="5">
        <v>45953</v>
      </c>
      <c r="C47" s="4" t="s">
        <v>109</v>
      </c>
      <c r="D47" s="4" t="s">
        <v>88</v>
      </c>
      <c r="E47" s="4" t="s">
        <v>15</v>
      </c>
      <c r="F47" s="4" t="s">
        <v>122</v>
      </c>
      <c r="G47" s="4" t="s">
        <v>69</v>
      </c>
      <c r="H47" s="4">
        <v>39</v>
      </c>
      <c r="I47" s="4" t="s">
        <v>136</v>
      </c>
      <c r="J47" s="4" t="s">
        <v>19</v>
      </c>
    </row>
    <row r="48" spans="1:10" x14ac:dyDescent="0.2">
      <c r="A48" s="4" t="s">
        <v>137</v>
      </c>
      <c r="B48" s="4" t="s">
        <v>138</v>
      </c>
      <c r="C48" s="4" t="s">
        <v>13</v>
      </c>
      <c r="D48" s="4" t="s">
        <v>33</v>
      </c>
      <c r="E48" s="4" t="s">
        <v>63</v>
      </c>
      <c r="F48" s="4" t="s">
        <v>102</v>
      </c>
      <c r="G48" s="4" t="s">
        <v>103</v>
      </c>
      <c r="H48" s="4" t="s">
        <v>139</v>
      </c>
      <c r="I48" s="6">
        <v>24.5</v>
      </c>
      <c r="J48" s="4" t="s">
        <v>82</v>
      </c>
    </row>
    <row r="49" spans="1:10" x14ac:dyDescent="0.2">
      <c r="A49" s="4" t="s">
        <v>140</v>
      </c>
      <c r="B49" s="4" t="s">
        <v>141</v>
      </c>
      <c r="C49" s="4" t="s">
        <v>21</v>
      </c>
      <c r="D49" s="4" t="s">
        <v>105</v>
      </c>
      <c r="E49" s="4"/>
      <c r="F49" s="4" t="s">
        <v>122</v>
      </c>
      <c r="G49" s="4" t="s">
        <v>69</v>
      </c>
      <c r="H49" s="4">
        <v>5</v>
      </c>
      <c r="I49" s="4" t="s">
        <v>136</v>
      </c>
      <c r="J49" s="4" t="s">
        <v>82</v>
      </c>
    </row>
    <row r="50" spans="1:10" x14ac:dyDescent="0.2">
      <c r="A50" s="4" t="s">
        <v>142</v>
      </c>
      <c r="B50" s="4" t="s">
        <v>143</v>
      </c>
      <c r="C50" s="4" t="s">
        <v>109</v>
      </c>
      <c r="D50" s="4" t="s">
        <v>27</v>
      </c>
      <c r="E50" s="4" t="s">
        <v>63</v>
      </c>
      <c r="F50" s="4" t="s">
        <v>122</v>
      </c>
      <c r="G50" s="4" t="s">
        <v>69</v>
      </c>
      <c r="H50" s="4">
        <v>2</v>
      </c>
      <c r="I50" s="6">
        <v>12.25</v>
      </c>
      <c r="J50" s="4" t="s">
        <v>35</v>
      </c>
    </row>
    <row r="51" spans="1:10" x14ac:dyDescent="0.2">
      <c r="A51" s="4" t="s">
        <v>144</v>
      </c>
      <c r="B51" s="4" t="s">
        <v>145</v>
      </c>
      <c r="C51" s="4" t="s">
        <v>95</v>
      </c>
      <c r="D51" s="4" t="s">
        <v>62</v>
      </c>
      <c r="E51" s="4" t="s">
        <v>63</v>
      </c>
      <c r="F51" s="4" t="s">
        <v>102</v>
      </c>
      <c r="G51" s="4" t="s">
        <v>103</v>
      </c>
      <c r="H51" s="4">
        <v>34</v>
      </c>
      <c r="I51" s="4" t="s">
        <v>128</v>
      </c>
      <c r="J51" s="4" t="s">
        <v>25</v>
      </c>
    </row>
    <row r="52" spans="1:10" x14ac:dyDescent="0.2">
      <c r="A52" s="4" t="s">
        <v>146</v>
      </c>
      <c r="B52" s="5">
        <v>45946</v>
      </c>
      <c r="C52" s="4" t="s">
        <v>75</v>
      </c>
      <c r="D52" s="4" t="s">
        <v>22</v>
      </c>
      <c r="E52" s="4" t="s">
        <v>23</v>
      </c>
      <c r="F52" s="4" t="s">
        <v>16</v>
      </c>
      <c r="G52" s="4" t="s">
        <v>17</v>
      </c>
      <c r="H52" s="4">
        <v>37</v>
      </c>
      <c r="I52" s="4" t="s">
        <v>18</v>
      </c>
      <c r="J52" s="4" t="s">
        <v>48</v>
      </c>
    </row>
    <row r="53" spans="1:10" x14ac:dyDescent="0.2">
      <c r="A53" s="4" t="s">
        <v>147</v>
      </c>
      <c r="B53" s="5">
        <v>46013</v>
      </c>
      <c r="C53" s="4" t="s">
        <v>148</v>
      </c>
      <c r="D53" s="4" t="s">
        <v>149</v>
      </c>
      <c r="E53" s="4" t="s">
        <v>34</v>
      </c>
      <c r="F53" s="4" t="s">
        <v>47</v>
      </c>
      <c r="G53" s="4" t="s">
        <v>40</v>
      </c>
      <c r="H53" s="4">
        <v>32</v>
      </c>
      <c r="I53" s="6">
        <v>21.99</v>
      </c>
      <c r="J53" s="4" t="s">
        <v>35</v>
      </c>
    </row>
    <row r="54" spans="1:10" x14ac:dyDescent="0.2">
      <c r="A54" s="4" t="s">
        <v>150</v>
      </c>
      <c r="B54" s="4" t="s">
        <v>151</v>
      </c>
      <c r="C54" s="4" t="s">
        <v>54</v>
      </c>
      <c r="D54" s="4" t="s">
        <v>105</v>
      </c>
      <c r="E54" s="4"/>
      <c r="F54" s="4" t="s">
        <v>102</v>
      </c>
      <c r="G54" s="4" t="s">
        <v>103</v>
      </c>
      <c r="H54" s="4">
        <v>27</v>
      </c>
      <c r="I54" s="6">
        <v>24.5</v>
      </c>
      <c r="J54" s="4" t="s">
        <v>35</v>
      </c>
    </row>
    <row r="55" spans="1:10" x14ac:dyDescent="0.2">
      <c r="A55" s="4" t="s">
        <v>152</v>
      </c>
      <c r="B55" s="4" t="s">
        <v>153</v>
      </c>
      <c r="C55" s="4" t="s">
        <v>46</v>
      </c>
      <c r="D55" s="4" t="s">
        <v>154</v>
      </c>
      <c r="E55" s="4" t="s">
        <v>23</v>
      </c>
      <c r="F55" s="4" t="s">
        <v>119</v>
      </c>
      <c r="G55" s="4" t="s">
        <v>30</v>
      </c>
      <c r="H55" s="4">
        <v>15</v>
      </c>
      <c r="I55" s="6">
        <v>189</v>
      </c>
      <c r="J55" s="4" t="s">
        <v>82</v>
      </c>
    </row>
    <row r="56" spans="1:10" x14ac:dyDescent="0.2">
      <c r="A56" s="4" t="s">
        <v>155</v>
      </c>
      <c r="B56" s="5">
        <v>45972</v>
      </c>
      <c r="C56" s="4" t="s">
        <v>32</v>
      </c>
      <c r="D56" s="4" t="s">
        <v>33</v>
      </c>
      <c r="E56" s="4" t="s">
        <v>28</v>
      </c>
      <c r="F56" s="4" t="s">
        <v>29</v>
      </c>
      <c r="G56" s="4" t="s">
        <v>30</v>
      </c>
      <c r="H56" s="4">
        <v>30</v>
      </c>
      <c r="I56" s="6">
        <v>76.5</v>
      </c>
      <c r="J56" s="4" t="s">
        <v>48</v>
      </c>
    </row>
    <row r="57" spans="1:10" x14ac:dyDescent="0.2">
      <c r="A57" s="4" t="s">
        <v>156</v>
      </c>
      <c r="B57" s="5">
        <v>46010</v>
      </c>
      <c r="C57" s="4" t="s">
        <v>75</v>
      </c>
      <c r="D57" s="4" t="s">
        <v>38</v>
      </c>
      <c r="E57" s="4" t="s">
        <v>23</v>
      </c>
      <c r="F57" s="4" t="s">
        <v>122</v>
      </c>
      <c r="G57" s="4" t="s">
        <v>69</v>
      </c>
      <c r="H57" s="4" t="s">
        <v>99</v>
      </c>
      <c r="I57" s="4" t="s">
        <v>136</v>
      </c>
      <c r="J57" s="4" t="s">
        <v>48</v>
      </c>
    </row>
    <row r="58" spans="1:10" x14ac:dyDescent="0.2">
      <c r="A58" s="4" t="s">
        <v>157</v>
      </c>
      <c r="B58" s="4" t="s">
        <v>158</v>
      </c>
      <c r="C58" s="4" t="s">
        <v>113</v>
      </c>
      <c r="D58" s="4" t="s">
        <v>43</v>
      </c>
      <c r="E58" s="4" t="s">
        <v>23</v>
      </c>
      <c r="F58" s="4" t="s">
        <v>47</v>
      </c>
      <c r="G58" s="4" t="s">
        <v>40</v>
      </c>
      <c r="H58" s="4" t="s">
        <v>76</v>
      </c>
      <c r="I58" s="6">
        <v>21.99</v>
      </c>
      <c r="J58" s="4" t="s">
        <v>82</v>
      </c>
    </row>
    <row r="59" spans="1:10" x14ac:dyDescent="0.2">
      <c r="A59" s="4" t="s">
        <v>159</v>
      </c>
      <c r="B59" s="5">
        <v>45958</v>
      </c>
      <c r="C59" s="4" t="s">
        <v>160</v>
      </c>
      <c r="D59" s="4" t="s">
        <v>149</v>
      </c>
      <c r="E59" s="4" t="s">
        <v>28</v>
      </c>
      <c r="F59" s="4" t="s">
        <v>68</v>
      </c>
      <c r="G59" s="4" t="s">
        <v>69</v>
      </c>
      <c r="H59" s="4">
        <v>38</v>
      </c>
      <c r="I59" s="4" t="s">
        <v>90</v>
      </c>
      <c r="J59" s="4" t="s">
        <v>35</v>
      </c>
    </row>
    <row r="60" spans="1:10" x14ac:dyDescent="0.2">
      <c r="A60" s="4" t="s">
        <v>161</v>
      </c>
      <c r="B60" s="5">
        <v>45990</v>
      </c>
      <c r="C60" s="4" t="s">
        <v>42</v>
      </c>
      <c r="D60" s="4" t="s">
        <v>22</v>
      </c>
      <c r="E60" s="4" t="s">
        <v>28</v>
      </c>
      <c r="F60" s="4" t="s">
        <v>119</v>
      </c>
      <c r="G60" s="4" t="s">
        <v>30</v>
      </c>
      <c r="H60" s="4">
        <v>31</v>
      </c>
      <c r="I60" s="4" t="s">
        <v>162</v>
      </c>
      <c r="J60" s="4" t="s">
        <v>19</v>
      </c>
    </row>
    <row r="61" spans="1:10" x14ac:dyDescent="0.2">
      <c r="A61" s="4" t="s">
        <v>163</v>
      </c>
      <c r="B61" s="5">
        <v>46002</v>
      </c>
      <c r="C61" s="4" t="s">
        <v>164</v>
      </c>
      <c r="D61" s="4" t="s">
        <v>22</v>
      </c>
      <c r="E61" s="4" t="s">
        <v>63</v>
      </c>
      <c r="F61" s="4" t="s">
        <v>68</v>
      </c>
      <c r="G61" s="4" t="s">
        <v>69</v>
      </c>
      <c r="H61" s="4">
        <v>26</v>
      </c>
      <c r="I61" s="6">
        <v>18.399999999999999</v>
      </c>
      <c r="J61" s="4" t="s">
        <v>82</v>
      </c>
    </row>
    <row r="62" spans="1:10" x14ac:dyDescent="0.2">
      <c r="A62" s="4" t="s">
        <v>165</v>
      </c>
      <c r="B62" s="5">
        <v>45933</v>
      </c>
      <c r="C62" s="4" t="s">
        <v>21</v>
      </c>
      <c r="D62" s="4" t="s">
        <v>62</v>
      </c>
      <c r="E62" s="4"/>
      <c r="F62" s="4" t="s">
        <v>122</v>
      </c>
      <c r="G62" s="4" t="s">
        <v>69</v>
      </c>
      <c r="H62" s="4">
        <v>14</v>
      </c>
      <c r="I62" s="4" t="s">
        <v>136</v>
      </c>
      <c r="J62" s="4" t="s">
        <v>82</v>
      </c>
    </row>
    <row r="63" spans="1:10" x14ac:dyDescent="0.2">
      <c r="A63" s="4" t="s">
        <v>166</v>
      </c>
      <c r="B63" s="5">
        <v>46008</v>
      </c>
      <c r="C63" s="4" t="s">
        <v>37</v>
      </c>
      <c r="D63" s="4" t="s">
        <v>79</v>
      </c>
      <c r="E63" s="4" t="s">
        <v>34</v>
      </c>
      <c r="F63" s="4" t="s">
        <v>68</v>
      </c>
      <c r="G63" s="4" t="s">
        <v>69</v>
      </c>
      <c r="H63" s="4" t="s">
        <v>167</v>
      </c>
      <c r="I63" s="6">
        <v>18.399999999999999</v>
      </c>
      <c r="J63" s="4" t="s">
        <v>19</v>
      </c>
    </row>
    <row r="64" spans="1:10" x14ac:dyDescent="0.2">
      <c r="A64" s="4" t="s">
        <v>168</v>
      </c>
      <c r="B64" s="5">
        <v>45985</v>
      </c>
      <c r="C64" s="4" t="s">
        <v>164</v>
      </c>
      <c r="D64" s="4" t="s">
        <v>88</v>
      </c>
      <c r="E64" s="4" t="s">
        <v>34</v>
      </c>
      <c r="F64" s="4" t="s">
        <v>47</v>
      </c>
      <c r="G64" s="4" t="s">
        <v>40</v>
      </c>
      <c r="H64" s="4" t="s">
        <v>169</v>
      </c>
      <c r="I64" s="6">
        <v>21.99</v>
      </c>
      <c r="J64" s="4" t="s">
        <v>82</v>
      </c>
    </row>
    <row r="65" spans="1:10" x14ac:dyDescent="0.2">
      <c r="A65" s="4" t="s">
        <v>170</v>
      </c>
      <c r="B65" s="4" t="s">
        <v>171</v>
      </c>
      <c r="C65" s="4" t="s">
        <v>42</v>
      </c>
      <c r="D65" s="4" t="s">
        <v>154</v>
      </c>
      <c r="E65" s="4" t="s">
        <v>63</v>
      </c>
      <c r="F65" s="4" t="s">
        <v>119</v>
      </c>
      <c r="G65" s="4" t="s">
        <v>30</v>
      </c>
      <c r="H65" s="4">
        <v>22</v>
      </c>
      <c r="I65" s="6">
        <v>189</v>
      </c>
      <c r="J65" s="4" t="s">
        <v>35</v>
      </c>
    </row>
    <row r="66" spans="1:10" x14ac:dyDescent="0.2">
      <c r="A66" s="4" t="s">
        <v>172</v>
      </c>
      <c r="B66" s="4" t="s">
        <v>173</v>
      </c>
      <c r="C66" s="4" t="s">
        <v>13</v>
      </c>
      <c r="D66" s="4" t="s">
        <v>60</v>
      </c>
      <c r="E66" s="4" t="s">
        <v>28</v>
      </c>
      <c r="F66" s="4" t="s">
        <v>102</v>
      </c>
      <c r="G66" s="4" t="s">
        <v>103</v>
      </c>
      <c r="H66" s="4">
        <v>4</v>
      </c>
      <c r="I66" s="4" t="s">
        <v>128</v>
      </c>
      <c r="J66" s="4" t="s">
        <v>19</v>
      </c>
    </row>
    <row r="67" spans="1:10" x14ac:dyDescent="0.2">
      <c r="A67" s="4" t="s">
        <v>174</v>
      </c>
      <c r="B67" s="5">
        <v>45982</v>
      </c>
      <c r="C67" s="4" t="s">
        <v>95</v>
      </c>
      <c r="D67" s="4" t="s">
        <v>88</v>
      </c>
      <c r="E67" s="4" t="s">
        <v>28</v>
      </c>
      <c r="F67" s="4" t="s">
        <v>51</v>
      </c>
      <c r="G67" s="4" t="s">
        <v>30</v>
      </c>
      <c r="H67" s="4" t="s">
        <v>175</v>
      </c>
      <c r="I67" s="6">
        <v>340</v>
      </c>
      <c r="J67" s="4" t="s">
        <v>48</v>
      </c>
    </row>
    <row r="68" spans="1:10" x14ac:dyDescent="0.2">
      <c r="A68" s="4" t="s">
        <v>176</v>
      </c>
      <c r="B68" s="5">
        <v>45932</v>
      </c>
      <c r="C68" s="4" t="s">
        <v>37</v>
      </c>
      <c r="D68" s="4" t="s">
        <v>27</v>
      </c>
      <c r="E68" s="4" t="s">
        <v>23</v>
      </c>
      <c r="F68" s="4" t="s">
        <v>68</v>
      </c>
      <c r="G68" s="4" t="s">
        <v>69</v>
      </c>
      <c r="H68" s="4">
        <v>7</v>
      </c>
      <c r="I68" s="6">
        <v>18.399999999999999</v>
      </c>
      <c r="J68" s="4" t="s">
        <v>25</v>
      </c>
    </row>
    <row r="69" spans="1:10" x14ac:dyDescent="0.2">
      <c r="A69" s="4" t="s">
        <v>177</v>
      </c>
      <c r="B69" s="4" t="s">
        <v>178</v>
      </c>
      <c r="C69" s="4" t="s">
        <v>21</v>
      </c>
      <c r="D69" s="4" t="s">
        <v>33</v>
      </c>
      <c r="E69" s="4" t="s">
        <v>34</v>
      </c>
      <c r="F69" s="4" t="s">
        <v>102</v>
      </c>
      <c r="G69" s="4" t="s">
        <v>103</v>
      </c>
      <c r="H69" s="4">
        <v>10</v>
      </c>
      <c r="I69" s="6">
        <v>24.5</v>
      </c>
      <c r="J69" s="4" t="s">
        <v>35</v>
      </c>
    </row>
    <row r="70" spans="1:10" x14ac:dyDescent="0.2">
      <c r="A70" s="4" t="s">
        <v>179</v>
      </c>
      <c r="B70" s="4" t="s">
        <v>180</v>
      </c>
      <c r="C70" s="4" t="s">
        <v>13</v>
      </c>
      <c r="D70" s="4" t="s">
        <v>154</v>
      </c>
      <c r="E70" s="4" t="s">
        <v>28</v>
      </c>
      <c r="F70" s="4" t="s">
        <v>68</v>
      </c>
      <c r="G70" s="4" t="s">
        <v>69</v>
      </c>
      <c r="H70" s="4" t="s">
        <v>76</v>
      </c>
      <c r="I70" s="6">
        <v>18.399999999999999</v>
      </c>
      <c r="J70" s="4" t="s">
        <v>25</v>
      </c>
    </row>
    <row r="71" spans="1:10" x14ac:dyDescent="0.2">
      <c r="A71" s="4" t="s">
        <v>181</v>
      </c>
      <c r="B71" s="5">
        <v>45937</v>
      </c>
      <c r="C71" s="4" t="s">
        <v>182</v>
      </c>
      <c r="D71" s="4" t="s">
        <v>110</v>
      </c>
      <c r="E71" s="4" t="s">
        <v>58</v>
      </c>
      <c r="F71" s="4" t="s">
        <v>122</v>
      </c>
      <c r="G71" s="4" t="s">
        <v>69</v>
      </c>
      <c r="H71" s="4">
        <v>1</v>
      </c>
      <c r="I71" s="6">
        <v>12.25</v>
      </c>
      <c r="J71" s="4" t="s">
        <v>19</v>
      </c>
    </row>
    <row r="72" spans="1:10" x14ac:dyDescent="0.2">
      <c r="A72" s="4" t="s">
        <v>183</v>
      </c>
      <c r="B72" s="5">
        <v>46021</v>
      </c>
      <c r="C72" s="4" t="s">
        <v>148</v>
      </c>
      <c r="D72" s="4" t="s">
        <v>22</v>
      </c>
      <c r="E72" s="4" t="s">
        <v>23</v>
      </c>
      <c r="F72" s="4" t="s">
        <v>29</v>
      </c>
      <c r="G72" s="4" t="s">
        <v>30</v>
      </c>
      <c r="H72" s="4">
        <v>39</v>
      </c>
      <c r="I72" s="6">
        <v>76.5</v>
      </c>
      <c r="J72" s="4" t="s">
        <v>35</v>
      </c>
    </row>
    <row r="73" spans="1:10" x14ac:dyDescent="0.2">
      <c r="A73" s="4" t="s">
        <v>184</v>
      </c>
      <c r="B73" s="4" t="s">
        <v>185</v>
      </c>
      <c r="C73" s="4" t="s">
        <v>13</v>
      </c>
      <c r="D73" s="4" t="s">
        <v>62</v>
      </c>
      <c r="E73" s="4" t="s">
        <v>15</v>
      </c>
      <c r="F73" s="4" t="s">
        <v>16</v>
      </c>
      <c r="G73" s="4" t="s">
        <v>17</v>
      </c>
      <c r="H73" s="4">
        <v>30</v>
      </c>
      <c r="I73" s="6">
        <v>94.75</v>
      </c>
      <c r="J73" s="4" t="s">
        <v>19</v>
      </c>
    </row>
    <row r="74" spans="1:10" x14ac:dyDescent="0.2">
      <c r="A74" s="4" t="s">
        <v>186</v>
      </c>
      <c r="B74" s="4" t="s">
        <v>187</v>
      </c>
      <c r="C74" s="4" t="s">
        <v>87</v>
      </c>
      <c r="D74" s="4" t="s">
        <v>105</v>
      </c>
      <c r="E74" s="4" t="s">
        <v>15</v>
      </c>
      <c r="F74" s="4" t="s">
        <v>122</v>
      </c>
      <c r="G74" s="4" t="s">
        <v>69</v>
      </c>
      <c r="H74" s="4" t="s">
        <v>76</v>
      </c>
      <c r="I74" s="6">
        <v>12.25</v>
      </c>
      <c r="J74" s="4" t="s">
        <v>25</v>
      </c>
    </row>
    <row r="75" spans="1:10" x14ac:dyDescent="0.2">
      <c r="A75" s="4" t="s">
        <v>188</v>
      </c>
      <c r="B75" s="5">
        <v>45972</v>
      </c>
      <c r="C75" s="4" t="s">
        <v>42</v>
      </c>
      <c r="D75" s="4" t="s">
        <v>33</v>
      </c>
      <c r="E75" s="4" t="s">
        <v>28</v>
      </c>
      <c r="F75" s="4" t="s">
        <v>102</v>
      </c>
      <c r="G75" s="4" t="s">
        <v>103</v>
      </c>
      <c r="H75" s="4">
        <v>17</v>
      </c>
      <c r="I75" s="6">
        <v>24.5</v>
      </c>
      <c r="J75" s="4" t="s">
        <v>48</v>
      </c>
    </row>
    <row r="76" spans="1:10" x14ac:dyDescent="0.2">
      <c r="A76" s="4" t="s">
        <v>189</v>
      </c>
      <c r="B76" s="5">
        <v>45980</v>
      </c>
      <c r="C76" s="4" t="s">
        <v>109</v>
      </c>
      <c r="D76" s="4" t="s">
        <v>154</v>
      </c>
      <c r="E76" s="4" t="s">
        <v>23</v>
      </c>
      <c r="F76" s="4" t="s">
        <v>119</v>
      </c>
      <c r="G76" s="4" t="s">
        <v>30</v>
      </c>
      <c r="H76" s="4">
        <v>3</v>
      </c>
      <c r="I76" s="6">
        <v>189</v>
      </c>
      <c r="J76" s="4" t="s">
        <v>35</v>
      </c>
    </row>
    <row r="77" spans="1:10" x14ac:dyDescent="0.2">
      <c r="A77" s="4" t="s">
        <v>190</v>
      </c>
      <c r="B77" s="4" t="s">
        <v>171</v>
      </c>
      <c r="C77" s="4" t="s">
        <v>13</v>
      </c>
      <c r="D77" s="4" t="s">
        <v>33</v>
      </c>
      <c r="E77" s="4"/>
      <c r="F77" s="4" t="s">
        <v>102</v>
      </c>
      <c r="G77" s="4" t="s">
        <v>103</v>
      </c>
      <c r="H77" s="4">
        <v>28</v>
      </c>
      <c r="I77" s="6">
        <v>24.5</v>
      </c>
      <c r="J77" s="4" t="s">
        <v>25</v>
      </c>
    </row>
    <row r="78" spans="1:10" x14ac:dyDescent="0.2">
      <c r="A78" s="4" t="s">
        <v>191</v>
      </c>
      <c r="B78" s="5">
        <v>46002</v>
      </c>
      <c r="C78" s="4" t="s">
        <v>37</v>
      </c>
      <c r="D78" s="4" t="s">
        <v>105</v>
      </c>
      <c r="E78" s="4" t="s">
        <v>23</v>
      </c>
      <c r="F78" s="4" t="s">
        <v>68</v>
      </c>
      <c r="G78" s="4" t="s">
        <v>69</v>
      </c>
      <c r="H78" s="4">
        <v>16</v>
      </c>
      <c r="I78" s="4" t="s">
        <v>90</v>
      </c>
      <c r="J78" s="4" t="s">
        <v>35</v>
      </c>
    </row>
    <row r="79" spans="1:10" x14ac:dyDescent="0.2">
      <c r="A79" s="4" t="s">
        <v>192</v>
      </c>
      <c r="B79" s="5">
        <v>45962</v>
      </c>
      <c r="C79" s="4" t="s">
        <v>193</v>
      </c>
      <c r="D79" s="4" t="s">
        <v>60</v>
      </c>
      <c r="E79" s="4" t="s">
        <v>23</v>
      </c>
      <c r="F79" s="4" t="s">
        <v>29</v>
      </c>
      <c r="G79" s="4" t="s">
        <v>30</v>
      </c>
      <c r="H79" s="4" t="s">
        <v>194</v>
      </c>
      <c r="I79" s="6">
        <v>76.5</v>
      </c>
      <c r="J79" s="4" t="s">
        <v>35</v>
      </c>
    </row>
    <row r="80" spans="1:10" x14ac:dyDescent="0.2">
      <c r="A80" s="4" t="s">
        <v>195</v>
      </c>
      <c r="B80" s="5">
        <v>45961</v>
      </c>
      <c r="C80" s="4" t="s">
        <v>87</v>
      </c>
      <c r="D80" s="4" t="s">
        <v>134</v>
      </c>
      <c r="E80" s="4" t="s">
        <v>15</v>
      </c>
      <c r="F80" s="4" t="s">
        <v>51</v>
      </c>
      <c r="G80" s="4" t="s">
        <v>30</v>
      </c>
      <c r="H80" s="4">
        <v>37</v>
      </c>
      <c r="I80" s="6">
        <v>340</v>
      </c>
      <c r="J80" s="4" t="s">
        <v>48</v>
      </c>
    </row>
    <row r="81" spans="1:10" x14ac:dyDescent="0.2">
      <c r="A81" s="4" t="s">
        <v>196</v>
      </c>
      <c r="B81" s="5">
        <v>46021</v>
      </c>
      <c r="C81" s="4" t="s">
        <v>13</v>
      </c>
      <c r="D81" s="4" t="s">
        <v>27</v>
      </c>
      <c r="E81" s="4" t="s">
        <v>28</v>
      </c>
      <c r="F81" s="4" t="s">
        <v>102</v>
      </c>
      <c r="G81" s="4" t="s">
        <v>103</v>
      </c>
      <c r="H81" s="4">
        <v>27</v>
      </c>
      <c r="I81" s="6">
        <v>24.5</v>
      </c>
      <c r="J81" s="4" t="s">
        <v>48</v>
      </c>
    </row>
    <row r="82" spans="1:10" x14ac:dyDescent="0.2">
      <c r="A82" s="4" t="s">
        <v>197</v>
      </c>
      <c r="B82" s="4" t="s">
        <v>198</v>
      </c>
      <c r="C82" s="4" t="s">
        <v>164</v>
      </c>
      <c r="D82" s="4" t="s">
        <v>38</v>
      </c>
      <c r="E82" s="4" t="s">
        <v>15</v>
      </c>
      <c r="F82" s="4" t="s">
        <v>39</v>
      </c>
      <c r="G82" s="4" t="s">
        <v>40</v>
      </c>
      <c r="H82" s="4">
        <v>6</v>
      </c>
      <c r="I82" s="6">
        <v>44</v>
      </c>
      <c r="J82" s="4" t="s">
        <v>35</v>
      </c>
    </row>
    <row r="83" spans="1:10" x14ac:dyDescent="0.2">
      <c r="A83" s="4" t="s">
        <v>199</v>
      </c>
      <c r="B83" s="5">
        <v>45973</v>
      </c>
      <c r="C83" s="4" t="s">
        <v>37</v>
      </c>
      <c r="D83" s="4" t="s">
        <v>79</v>
      </c>
      <c r="E83" s="4" t="s">
        <v>63</v>
      </c>
      <c r="F83" s="4" t="s">
        <v>24</v>
      </c>
      <c r="G83" s="4" t="s">
        <v>17</v>
      </c>
      <c r="H83" s="4">
        <v>13</v>
      </c>
      <c r="I83" s="6">
        <v>68</v>
      </c>
      <c r="J83" s="4" t="s">
        <v>82</v>
      </c>
    </row>
    <row r="84" spans="1:10" x14ac:dyDescent="0.2">
      <c r="A84" s="4" t="s">
        <v>200</v>
      </c>
      <c r="B84" s="5">
        <v>45995</v>
      </c>
      <c r="C84" s="4" t="s">
        <v>75</v>
      </c>
      <c r="D84" s="4" t="s">
        <v>27</v>
      </c>
      <c r="E84" s="4" t="s">
        <v>23</v>
      </c>
      <c r="F84" s="4" t="s">
        <v>29</v>
      </c>
      <c r="G84" s="4" t="s">
        <v>30</v>
      </c>
      <c r="H84" s="4" t="s">
        <v>76</v>
      </c>
      <c r="I84" s="6">
        <v>76.5</v>
      </c>
      <c r="J84" s="4" t="s">
        <v>35</v>
      </c>
    </row>
    <row r="85" spans="1:10" x14ac:dyDescent="0.2">
      <c r="A85" s="4" t="s">
        <v>201</v>
      </c>
      <c r="B85" s="4" t="s">
        <v>202</v>
      </c>
      <c r="C85" s="4" t="s">
        <v>37</v>
      </c>
      <c r="D85" s="4" t="s">
        <v>67</v>
      </c>
      <c r="E85" s="4" t="s">
        <v>15</v>
      </c>
      <c r="F85" s="4" t="s">
        <v>102</v>
      </c>
      <c r="G85" s="4" t="s">
        <v>103</v>
      </c>
      <c r="H85" s="4">
        <v>2</v>
      </c>
      <c r="I85" s="4" t="s">
        <v>128</v>
      </c>
      <c r="J85" s="4" t="s">
        <v>19</v>
      </c>
    </row>
    <row r="86" spans="1:10" x14ac:dyDescent="0.2">
      <c r="A86" s="4" t="s">
        <v>203</v>
      </c>
      <c r="B86" s="5">
        <v>46001</v>
      </c>
      <c r="C86" s="4" t="s">
        <v>37</v>
      </c>
      <c r="D86" s="4" t="s">
        <v>149</v>
      </c>
      <c r="E86" s="4" t="s">
        <v>28</v>
      </c>
      <c r="F86" s="4" t="s">
        <v>39</v>
      </c>
      <c r="G86" s="4" t="s">
        <v>40</v>
      </c>
      <c r="H86" s="4">
        <v>1</v>
      </c>
      <c r="I86" s="6">
        <v>44</v>
      </c>
      <c r="J86" s="4" t="s">
        <v>25</v>
      </c>
    </row>
    <row r="87" spans="1:10" x14ac:dyDescent="0.2">
      <c r="A87" s="4" t="s">
        <v>204</v>
      </c>
      <c r="B87" s="5">
        <v>46002</v>
      </c>
      <c r="C87" s="4" t="s">
        <v>57</v>
      </c>
      <c r="D87" s="4" t="s">
        <v>134</v>
      </c>
      <c r="E87" s="4" t="s">
        <v>15</v>
      </c>
      <c r="F87" s="4" t="s">
        <v>24</v>
      </c>
      <c r="G87" s="4" t="s">
        <v>17</v>
      </c>
      <c r="H87" s="4">
        <v>26</v>
      </c>
      <c r="I87" s="6">
        <v>68</v>
      </c>
      <c r="J87" s="4" t="s">
        <v>19</v>
      </c>
    </row>
    <row r="88" spans="1:10" x14ac:dyDescent="0.2">
      <c r="A88" s="4" t="s">
        <v>205</v>
      </c>
      <c r="B88" s="4" t="s">
        <v>71</v>
      </c>
      <c r="C88" s="4" t="s">
        <v>164</v>
      </c>
      <c r="D88" s="4" t="s">
        <v>60</v>
      </c>
      <c r="E88" s="4"/>
      <c r="F88" s="4" t="s">
        <v>119</v>
      </c>
      <c r="G88" s="4" t="s">
        <v>30</v>
      </c>
      <c r="H88" s="4">
        <v>8</v>
      </c>
      <c r="I88" s="6">
        <v>189</v>
      </c>
      <c r="J88" s="4" t="s">
        <v>25</v>
      </c>
    </row>
    <row r="89" spans="1:10" x14ac:dyDescent="0.2">
      <c r="A89" s="4" t="s">
        <v>206</v>
      </c>
      <c r="B89" s="5">
        <v>45980</v>
      </c>
      <c r="C89" s="4" t="s">
        <v>57</v>
      </c>
      <c r="D89" s="4" t="s">
        <v>149</v>
      </c>
      <c r="E89" s="4" t="s">
        <v>23</v>
      </c>
      <c r="F89" s="4" t="s">
        <v>51</v>
      </c>
      <c r="G89" s="4" t="s">
        <v>30</v>
      </c>
      <c r="H89" s="4" t="s">
        <v>107</v>
      </c>
      <c r="I89" s="6">
        <v>340</v>
      </c>
      <c r="J89" s="4" t="s">
        <v>48</v>
      </c>
    </row>
    <row r="90" spans="1:10" x14ac:dyDescent="0.2">
      <c r="A90" s="4" t="s">
        <v>207</v>
      </c>
      <c r="B90" s="4" t="s">
        <v>151</v>
      </c>
      <c r="C90" s="4" t="s">
        <v>21</v>
      </c>
      <c r="D90" s="4" t="s">
        <v>43</v>
      </c>
      <c r="E90" s="4" t="s">
        <v>44</v>
      </c>
      <c r="F90" s="4" t="s">
        <v>24</v>
      </c>
      <c r="G90" s="4" t="s">
        <v>17</v>
      </c>
      <c r="H90" s="4">
        <v>30</v>
      </c>
      <c r="I90" s="6">
        <v>68</v>
      </c>
      <c r="J90" s="4" t="s">
        <v>35</v>
      </c>
    </row>
    <row r="91" spans="1:10" x14ac:dyDescent="0.2">
      <c r="A91" s="4" t="s">
        <v>208</v>
      </c>
      <c r="B91" s="5">
        <v>45941</v>
      </c>
      <c r="C91" s="4" t="s">
        <v>98</v>
      </c>
      <c r="D91" s="4" t="s">
        <v>60</v>
      </c>
      <c r="E91" s="4" t="s">
        <v>28</v>
      </c>
      <c r="F91" s="4" t="s">
        <v>47</v>
      </c>
      <c r="G91" s="4" t="s">
        <v>40</v>
      </c>
      <c r="H91" s="4" t="s">
        <v>76</v>
      </c>
      <c r="I91" s="4" t="s">
        <v>209</v>
      </c>
      <c r="J91" s="4" t="s">
        <v>25</v>
      </c>
    </row>
    <row r="92" spans="1:10" x14ac:dyDescent="0.2">
      <c r="A92" s="4" t="s">
        <v>55</v>
      </c>
      <c r="B92" s="4" t="s">
        <v>56</v>
      </c>
      <c r="C92" s="4" t="s">
        <v>57</v>
      </c>
      <c r="D92" s="4" t="s">
        <v>33</v>
      </c>
      <c r="E92" s="4" t="s">
        <v>58</v>
      </c>
      <c r="F92" s="4" t="s">
        <v>51</v>
      </c>
      <c r="G92" s="4" t="s">
        <v>30</v>
      </c>
      <c r="H92" s="4">
        <v>39</v>
      </c>
      <c r="I92" s="6">
        <v>340</v>
      </c>
      <c r="J92" s="4" t="s">
        <v>48</v>
      </c>
    </row>
    <row r="93" spans="1:10" x14ac:dyDescent="0.2">
      <c r="A93" s="4" t="s">
        <v>210</v>
      </c>
      <c r="B93" s="5">
        <v>45955</v>
      </c>
      <c r="C93" s="4" t="s">
        <v>75</v>
      </c>
      <c r="D93" s="4" t="s">
        <v>62</v>
      </c>
      <c r="E93" s="4" t="s">
        <v>34</v>
      </c>
      <c r="F93" s="4" t="s">
        <v>102</v>
      </c>
      <c r="G93" s="4" t="s">
        <v>103</v>
      </c>
      <c r="H93" s="4">
        <v>1</v>
      </c>
      <c r="I93" s="6">
        <v>24.5</v>
      </c>
      <c r="J93" s="4" t="s">
        <v>48</v>
      </c>
    </row>
    <row r="94" spans="1:10" x14ac:dyDescent="0.2">
      <c r="A94" s="4" t="s">
        <v>211</v>
      </c>
      <c r="B94" s="4" t="s">
        <v>212</v>
      </c>
      <c r="C94" s="4" t="s">
        <v>193</v>
      </c>
      <c r="D94" s="4" t="s">
        <v>79</v>
      </c>
      <c r="E94" s="4" t="s">
        <v>101</v>
      </c>
      <c r="F94" s="4" t="s">
        <v>29</v>
      </c>
      <c r="G94" s="4" t="s">
        <v>30</v>
      </c>
      <c r="H94" s="4">
        <v>31</v>
      </c>
      <c r="I94" s="6">
        <v>76.5</v>
      </c>
      <c r="J94" s="4" t="s">
        <v>82</v>
      </c>
    </row>
    <row r="95" spans="1:10" x14ac:dyDescent="0.2">
      <c r="A95" s="4" t="s">
        <v>213</v>
      </c>
      <c r="B95" s="5">
        <v>45938</v>
      </c>
      <c r="C95" s="4" t="s">
        <v>37</v>
      </c>
      <c r="D95" s="4" t="s">
        <v>88</v>
      </c>
      <c r="E95" s="4" t="s">
        <v>63</v>
      </c>
      <c r="F95" s="4" t="s">
        <v>29</v>
      </c>
      <c r="G95" s="4" t="s">
        <v>30</v>
      </c>
      <c r="H95" s="4">
        <v>38</v>
      </c>
      <c r="I95" s="6">
        <v>76.5</v>
      </c>
      <c r="J95" s="4" t="s">
        <v>19</v>
      </c>
    </row>
    <row r="96" spans="1:10" x14ac:dyDescent="0.2">
      <c r="A96" s="4" t="s">
        <v>214</v>
      </c>
      <c r="B96" s="5">
        <v>45996</v>
      </c>
      <c r="C96" s="4" t="s">
        <v>215</v>
      </c>
      <c r="D96" s="4" t="s">
        <v>154</v>
      </c>
      <c r="E96" s="4" t="s">
        <v>28</v>
      </c>
      <c r="F96" s="4" t="s">
        <v>24</v>
      </c>
      <c r="G96" s="4" t="s">
        <v>17</v>
      </c>
      <c r="H96" s="4">
        <v>17</v>
      </c>
      <c r="I96" s="6">
        <v>68</v>
      </c>
      <c r="J96" s="4" t="s">
        <v>82</v>
      </c>
    </row>
    <row r="97" spans="1:10" x14ac:dyDescent="0.2">
      <c r="A97" s="4" t="s">
        <v>216</v>
      </c>
      <c r="B97" s="5">
        <v>45968</v>
      </c>
      <c r="C97" s="4" t="s">
        <v>121</v>
      </c>
      <c r="D97" s="4" t="s">
        <v>149</v>
      </c>
      <c r="E97" s="4" t="s">
        <v>63</v>
      </c>
      <c r="F97" s="4" t="s">
        <v>68</v>
      </c>
      <c r="G97" s="4" t="s">
        <v>69</v>
      </c>
      <c r="H97" s="4">
        <v>8</v>
      </c>
      <c r="I97" s="4" t="s">
        <v>90</v>
      </c>
      <c r="J97" s="4" t="s">
        <v>48</v>
      </c>
    </row>
    <row r="98" spans="1:10" x14ac:dyDescent="0.2">
      <c r="A98" s="4" t="s">
        <v>217</v>
      </c>
      <c r="B98" s="4" t="s">
        <v>218</v>
      </c>
      <c r="C98" s="4" t="s">
        <v>113</v>
      </c>
      <c r="D98" s="4" t="s">
        <v>149</v>
      </c>
      <c r="E98" s="4" t="s">
        <v>44</v>
      </c>
      <c r="F98" s="4" t="s">
        <v>39</v>
      </c>
      <c r="G98" s="4" t="s">
        <v>40</v>
      </c>
      <c r="H98" s="4">
        <v>5</v>
      </c>
      <c r="I98" s="4" t="s">
        <v>80</v>
      </c>
      <c r="J98" s="4" t="s">
        <v>48</v>
      </c>
    </row>
    <row r="99" spans="1:10" x14ac:dyDescent="0.2">
      <c r="A99" s="4" t="s">
        <v>219</v>
      </c>
      <c r="B99" s="5">
        <v>45944</v>
      </c>
      <c r="C99" s="4" t="s">
        <v>37</v>
      </c>
      <c r="D99" s="4" t="s">
        <v>62</v>
      </c>
      <c r="E99" s="4" t="s">
        <v>58</v>
      </c>
      <c r="F99" s="4" t="s">
        <v>119</v>
      </c>
      <c r="G99" s="4" t="s">
        <v>30</v>
      </c>
      <c r="H99" s="4">
        <v>34</v>
      </c>
      <c r="I99" s="6">
        <v>189</v>
      </c>
      <c r="J99" s="4" t="s">
        <v>82</v>
      </c>
    </row>
    <row r="100" spans="1:10" x14ac:dyDescent="0.2">
      <c r="A100" s="4" t="s">
        <v>220</v>
      </c>
      <c r="B100" s="5">
        <v>45942</v>
      </c>
      <c r="C100" s="4" t="s">
        <v>54</v>
      </c>
      <c r="D100" s="4" t="s">
        <v>60</v>
      </c>
      <c r="E100" s="4" t="s">
        <v>23</v>
      </c>
      <c r="F100" s="4" t="s">
        <v>122</v>
      </c>
      <c r="G100" s="4" t="s">
        <v>69</v>
      </c>
      <c r="H100" s="4">
        <v>38</v>
      </c>
      <c r="I100" s="6">
        <v>12.25</v>
      </c>
      <c r="J100" s="4" t="s">
        <v>35</v>
      </c>
    </row>
    <row r="101" spans="1:10" x14ac:dyDescent="0.2">
      <c r="A101" s="4" t="s">
        <v>221</v>
      </c>
      <c r="B101" s="5">
        <v>45960</v>
      </c>
      <c r="C101" s="4" t="s">
        <v>182</v>
      </c>
      <c r="D101" s="4" t="s">
        <v>22</v>
      </c>
      <c r="E101" s="4" t="s">
        <v>63</v>
      </c>
      <c r="F101" s="4" t="s">
        <v>29</v>
      </c>
      <c r="G101" s="4" t="s">
        <v>30</v>
      </c>
      <c r="H101" s="4" t="s">
        <v>222</v>
      </c>
      <c r="I101" s="6">
        <v>76.5</v>
      </c>
      <c r="J101" s="4" t="s">
        <v>35</v>
      </c>
    </row>
    <row r="102" spans="1:10" x14ac:dyDescent="0.2">
      <c r="A102" s="4" t="s">
        <v>223</v>
      </c>
      <c r="B102" s="5">
        <v>45983</v>
      </c>
      <c r="C102" s="4" t="s">
        <v>21</v>
      </c>
      <c r="D102" s="4" t="s">
        <v>14</v>
      </c>
      <c r="E102" s="4" t="s">
        <v>15</v>
      </c>
      <c r="F102" s="4" t="s">
        <v>29</v>
      </c>
      <c r="G102" s="4" t="s">
        <v>30</v>
      </c>
      <c r="H102" s="4">
        <v>19</v>
      </c>
      <c r="I102" s="4" t="s">
        <v>115</v>
      </c>
      <c r="J102" s="4" t="s">
        <v>82</v>
      </c>
    </row>
    <row r="103" spans="1:10" x14ac:dyDescent="0.2">
      <c r="A103" s="4" t="s">
        <v>224</v>
      </c>
      <c r="B103" s="5">
        <v>45962</v>
      </c>
      <c r="C103" s="4" t="s">
        <v>148</v>
      </c>
      <c r="D103" s="4" t="s">
        <v>149</v>
      </c>
      <c r="E103" s="4" t="s">
        <v>34</v>
      </c>
      <c r="F103" s="4" t="s">
        <v>102</v>
      </c>
      <c r="G103" s="4" t="s">
        <v>103</v>
      </c>
      <c r="H103" s="4">
        <v>19</v>
      </c>
      <c r="I103" s="6">
        <v>24.5</v>
      </c>
      <c r="J103" s="4" t="s">
        <v>35</v>
      </c>
    </row>
    <row r="104" spans="1:10" x14ac:dyDescent="0.2">
      <c r="A104" s="4" t="s">
        <v>225</v>
      </c>
      <c r="B104" s="5">
        <v>45951</v>
      </c>
      <c r="C104" s="4" t="s">
        <v>226</v>
      </c>
      <c r="D104" s="4" t="s">
        <v>134</v>
      </c>
      <c r="E104" s="4" t="s">
        <v>23</v>
      </c>
      <c r="F104" s="4" t="s">
        <v>39</v>
      </c>
      <c r="G104" s="4" t="s">
        <v>40</v>
      </c>
      <c r="H104" s="4">
        <v>10</v>
      </c>
      <c r="I104" s="6">
        <v>44</v>
      </c>
      <c r="J104" s="4" t="s">
        <v>48</v>
      </c>
    </row>
    <row r="105" spans="1:10" x14ac:dyDescent="0.2">
      <c r="A105" s="4" t="s">
        <v>227</v>
      </c>
      <c r="B105" s="5">
        <v>45935</v>
      </c>
      <c r="C105" s="4" t="s">
        <v>193</v>
      </c>
      <c r="D105" s="4" t="s">
        <v>43</v>
      </c>
      <c r="E105" s="4"/>
      <c r="F105" s="4" t="s">
        <v>29</v>
      </c>
      <c r="G105" s="4" t="s">
        <v>30</v>
      </c>
      <c r="H105" s="4">
        <v>9</v>
      </c>
      <c r="I105" s="6">
        <v>76.5</v>
      </c>
      <c r="J105" s="4" t="s">
        <v>82</v>
      </c>
    </row>
    <row r="106" spans="1:10" x14ac:dyDescent="0.2">
      <c r="A106" s="4" t="s">
        <v>228</v>
      </c>
      <c r="B106" s="5">
        <v>46004</v>
      </c>
      <c r="C106" s="4" t="s">
        <v>78</v>
      </c>
      <c r="D106" s="4" t="s">
        <v>79</v>
      </c>
      <c r="E106" s="4" t="s">
        <v>15</v>
      </c>
      <c r="F106" s="4" t="s">
        <v>39</v>
      </c>
      <c r="G106" s="4" t="s">
        <v>40</v>
      </c>
      <c r="H106" s="4">
        <v>32</v>
      </c>
      <c r="I106" s="6">
        <v>44</v>
      </c>
      <c r="J106" s="4" t="s">
        <v>35</v>
      </c>
    </row>
    <row r="107" spans="1:10" x14ac:dyDescent="0.2">
      <c r="A107" s="4" t="s">
        <v>229</v>
      </c>
      <c r="B107" s="4" t="s">
        <v>230</v>
      </c>
      <c r="C107" s="4" t="s">
        <v>98</v>
      </c>
      <c r="D107" s="4" t="s">
        <v>14</v>
      </c>
      <c r="E107" s="4" t="s">
        <v>58</v>
      </c>
      <c r="F107" s="4" t="s">
        <v>24</v>
      </c>
      <c r="G107" s="4" t="s">
        <v>17</v>
      </c>
      <c r="H107" s="4">
        <v>2</v>
      </c>
      <c r="I107" s="6">
        <v>68</v>
      </c>
      <c r="J107" s="4" t="s">
        <v>48</v>
      </c>
    </row>
    <row r="108" spans="1:10" x14ac:dyDescent="0.2">
      <c r="A108" s="4" t="s">
        <v>231</v>
      </c>
      <c r="B108" s="5">
        <v>46015</v>
      </c>
      <c r="C108" s="4" t="s">
        <v>164</v>
      </c>
      <c r="D108" s="4" t="s">
        <v>60</v>
      </c>
      <c r="E108" s="4"/>
      <c r="F108" s="4" t="s">
        <v>119</v>
      </c>
      <c r="G108" s="4" t="s">
        <v>30</v>
      </c>
      <c r="H108" s="4">
        <v>10</v>
      </c>
      <c r="I108" s="6">
        <v>189</v>
      </c>
      <c r="J108" s="4" t="s">
        <v>48</v>
      </c>
    </row>
    <row r="109" spans="1:10" x14ac:dyDescent="0.2">
      <c r="A109" s="4" t="s">
        <v>157</v>
      </c>
      <c r="B109" s="4" t="s">
        <v>158</v>
      </c>
      <c r="C109" s="4" t="s">
        <v>113</v>
      </c>
      <c r="D109" s="4" t="s">
        <v>43</v>
      </c>
      <c r="E109" s="4" t="s">
        <v>23</v>
      </c>
      <c r="F109" s="4" t="s">
        <v>47</v>
      </c>
      <c r="G109" s="4" t="s">
        <v>40</v>
      </c>
      <c r="H109" s="4" t="s">
        <v>76</v>
      </c>
      <c r="I109" s="6">
        <v>21.99</v>
      </c>
      <c r="J109" s="4" t="s">
        <v>82</v>
      </c>
    </row>
    <row r="110" spans="1:10" x14ac:dyDescent="0.2">
      <c r="A110" s="4" t="s">
        <v>232</v>
      </c>
      <c r="B110" s="5">
        <v>45989</v>
      </c>
      <c r="C110" s="4" t="s">
        <v>233</v>
      </c>
      <c r="D110" s="4" t="s">
        <v>38</v>
      </c>
      <c r="E110" s="4"/>
      <c r="F110" s="4" t="s">
        <v>39</v>
      </c>
      <c r="G110" s="4" t="s">
        <v>40</v>
      </c>
      <c r="H110" s="4">
        <v>18</v>
      </c>
      <c r="I110" s="6">
        <v>44</v>
      </c>
      <c r="J110" s="4" t="s">
        <v>35</v>
      </c>
    </row>
    <row r="111" spans="1:10" x14ac:dyDescent="0.2">
      <c r="A111" s="4" t="s">
        <v>234</v>
      </c>
      <c r="B111" s="5">
        <v>45960</v>
      </c>
      <c r="C111" s="4" t="s">
        <v>42</v>
      </c>
      <c r="D111" s="4" t="s">
        <v>105</v>
      </c>
      <c r="E111" s="4" t="s">
        <v>28</v>
      </c>
      <c r="F111" s="4" t="s">
        <v>102</v>
      </c>
      <c r="G111" s="4" t="s">
        <v>103</v>
      </c>
      <c r="H111" s="4">
        <v>18</v>
      </c>
      <c r="I111" s="6">
        <v>24.5</v>
      </c>
      <c r="J111" s="4" t="s">
        <v>82</v>
      </c>
    </row>
    <row r="112" spans="1:10" x14ac:dyDescent="0.2">
      <c r="A112" s="4" t="s">
        <v>235</v>
      </c>
      <c r="B112" s="4" t="s">
        <v>236</v>
      </c>
      <c r="C112" s="4" t="s">
        <v>46</v>
      </c>
      <c r="D112" s="4" t="s">
        <v>67</v>
      </c>
      <c r="E112" s="4"/>
      <c r="F112" s="4" t="s">
        <v>24</v>
      </c>
      <c r="G112" s="4" t="s">
        <v>17</v>
      </c>
      <c r="H112" s="4">
        <v>35</v>
      </c>
      <c r="I112" s="6">
        <v>68</v>
      </c>
      <c r="J112" s="4" t="s">
        <v>25</v>
      </c>
    </row>
    <row r="113" spans="1:10" x14ac:dyDescent="0.2">
      <c r="A113" s="4" t="s">
        <v>237</v>
      </c>
      <c r="B113" s="5">
        <v>45985</v>
      </c>
      <c r="C113" s="4" t="s">
        <v>57</v>
      </c>
      <c r="D113" s="4" t="s">
        <v>60</v>
      </c>
      <c r="E113" s="4" t="s">
        <v>15</v>
      </c>
      <c r="F113" s="4" t="s">
        <v>24</v>
      </c>
      <c r="G113" s="4" t="s">
        <v>17</v>
      </c>
      <c r="H113" s="4">
        <v>4</v>
      </c>
      <c r="I113" s="6">
        <v>68</v>
      </c>
      <c r="J113" s="4" t="s">
        <v>82</v>
      </c>
    </row>
    <row r="114" spans="1:10" x14ac:dyDescent="0.2">
      <c r="A114" s="4" t="s">
        <v>238</v>
      </c>
      <c r="B114" s="5">
        <v>45974</v>
      </c>
      <c r="C114" s="4" t="s">
        <v>13</v>
      </c>
      <c r="D114" s="4" t="s">
        <v>62</v>
      </c>
      <c r="E114" s="4" t="s">
        <v>23</v>
      </c>
      <c r="F114" s="4" t="s">
        <v>39</v>
      </c>
      <c r="G114" s="4" t="s">
        <v>40</v>
      </c>
      <c r="H114" s="4">
        <v>40</v>
      </c>
      <c r="I114" s="6">
        <v>44</v>
      </c>
      <c r="J114" s="4" t="s">
        <v>35</v>
      </c>
    </row>
    <row r="115" spans="1:10" x14ac:dyDescent="0.2">
      <c r="A115" s="4" t="s">
        <v>239</v>
      </c>
      <c r="B115" s="5">
        <v>45932</v>
      </c>
      <c r="C115" s="4" t="s">
        <v>95</v>
      </c>
      <c r="D115" s="4" t="s">
        <v>22</v>
      </c>
      <c r="E115" s="4" t="s">
        <v>63</v>
      </c>
      <c r="F115" s="4" t="s">
        <v>119</v>
      </c>
      <c r="G115" s="4" t="s">
        <v>30</v>
      </c>
      <c r="H115" s="4">
        <v>34</v>
      </c>
      <c r="I115" s="6">
        <v>189</v>
      </c>
      <c r="J115" s="4" t="s">
        <v>35</v>
      </c>
    </row>
    <row r="116" spans="1:10" x14ac:dyDescent="0.2">
      <c r="A116" s="4" t="s">
        <v>240</v>
      </c>
      <c r="B116" s="4" t="s">
        <v>241</v>
      </c>
      <c r="C116" s="4" t="s">
        <v>46</v>
      </c>
      <c r="D116" s="4" t="s">
        <v>154</v>
      </c>
      <c r="E116" s="4" t="s">
        <v>23</v>
      </c>
      <c r="F116" s="4" t="s">
        <v>68</v>
      </c>
      <c r="G116" s="4" t="s">
        <v>69</v>
      </c>
      <c r="H116" s="4" t="s">
        <v>114</v>
      </c>
      <c r="I116" s="6">
        <v>18.399999999999999</v>
      </c>
      <c r="J116" s="4" t="s">
        <v>35</v>
      </c>
    </row>
    <row r="117" spans="1:10" x14ac:dyDescent="0.2">
      <c r="A117" s="4" t="s">
        <v>242</v>
      </c>
      <c r="B117" s="4" t="s">
        <v>243</v>
      </c>
      <c r="C117" s="4" t="s">
        <v>87</v>
      </c>
      <c r="D117" s="4" t="s">
        <v>149</v>
      </c>
      <c r="E117" s="4" t="s">
        <v>15</v>
      </c>
      <c r="F117" s="4" t="s">
        <v>122</v>
      </c>
      <c r="G117" s="4" t="s">
        <v>69</v>
      </c>
      <c r="H117" s="4">
        <v>13</v>
      </c>
      <c r="I117" s="4" t="s">
        <v>136</v>
      </c>
      <c r="J117" s="4" t="s">
        <v>25</v>
      </c>
    </row>
    <row r="118" spans="1:10" x14ac:dyDescent="0.2">
      <c r="A118" s="4" t="s">
        <v>244</v>
      </c>
      <c r="B118" s="5">
        <v>45939</v>
      </c>
      <c r="C118" s="4" t="s">
        <v>95</v>
      </c>
      <c r="D118" s="4" t="s">
        <v>149</v>
      </c>
      <c r="E118" s="4" t="s">
        <v>28</v>
      </c>
      <c r="F118" s="4" t="s">
        <v>47</v>
      </c>
      <c r="G118" s="4" t="s">
        <v>40</v>
      </c>
      <c r="H118" s="4">
        <v>25</v>
      </c>
      <c r="I118" s="6">
        <v>21.99</v>
      </c>
      <c r="J118" s="4" t="s">
        <v>19</v>
      </c>
    </row>
    <row r="119" spans="1:10" x14ac:dyDescent="0.2">
      <c r="A119" s="4" t="s">
        <v>245</v>
      </c>
      <c r="B119" s="5">
        <v>45955</v>
      </c>
      <c r="C119" s="4" t="s">
        <v>182</v>
      </c>
      <c r="D119" s="4" t="s">
        <v>88</v>
      </c>
      <c r="E119" s="4"/>
      <c r="F119" s="4" t="s">
        <v>119</v>
      </c>
      <c r="G119" s="4" t="s">
        <v>30</v>
      </c>
      <c r="H119" s="4">
        <v>33</v>
      </c>
      <c r="I119" s="6">
        <v>189</v>
      </c>
      <c r="J119" s="4" t="s">
        <v>25</v>
      </c>
    </row>
    <row r="120" spans="1:10" x14ac:dyDescent="0.2">
      <c r="A120" s="4" t="s">
        <v>246</v>
      </c>
      <c r="B120" s="5">
        <v>46006</v>
      </c>
      <c r="C120" s="4" t="s">
        <v>54</v>
      </c>
      <c r="D120" s="4" t="s">
        <v>27</v>
      </c>
      <c r="E120" s="4" t="s">
        <v>28</v>
      </c>
      <c r="F120" s="4" t="s">
        <v>47</v>
      </c>
      <c r="G120" s="4" t="s">
        <v>40</v>
      </c>
      <c r="H120" s="4">
        <v>9</v>
      </c>
      <c r="I120" s="6">
        <v>21.99</v>
      </c>
      <c r="J120" s="4" t="s">
        <v>19</v>
      </c>
    </row>
    <row r="121" spans="1:10" x14ac:dyDescent="0.2">
      <c r="A121" s="4" t="s">
        <v>225</v>
      </c>
      <c r="B121" s="5">
        <v>45951</v>
      </c>
      <c r="C121" s="4" t="s">
        <v>226</v>
      </c>
      <c r="D121" s="4" t="s">
        <v>134</v>
      </c>
      <c r="E121" s="4" t="s">
        <v>23</v>
      </c>
      <c r="F121" s="4" t="s">
        <v>39</v>
      </c>
      <c r="G121" s="4" t="s">
        <v>40</v>
      </c>
      <c r="H121" s="4">
        <v>10</v>
      </c>
      <c r="I121" s="6">
        <v>44</v>
      </c>
      <c r="J121" s="4" t="s">
        <v>48</v>
      </c>
    </row>
    <row r="122" spans="1:10" x14ac:dyDescent="0.2">
      <c r="A122" s="4" t="s">
        <v>247</v>
      </c>
      <c r="B122" s="5">
        <v>45970</v>
      </c>
      <c r="C122" s="4" t="s">
        <v>54</v>
      </c>
      <c r="D122" s="4" t="s">
        <v>79</v>
      </c>
      <c r="E122" s="4"/>
      <c r="F122" s="4" t="s">
        <v>122</v>
      </c>
      <c r="G122" s="4" t="s">
        <v>69</v>
      </c>
      <c r="H122" s="4">
        <v>3</v>
      </c>
      <c r="I122" s="6">
        <v>12.25</v>
      </c>
      <c r="J122" s="4" t="s">
        <v>35</v>
      </c>
    </row>
    <row r="123" spans="1:10" x14ac:dyDescent="0.2">
      <c r="A123" s="4" t="s">
        <v>248</v>
      </c>
      <c r="B123" s="4" t="s">
        <v>249</v>
      </c>
      <c r="C123" s="4" t="s">
        <v>32</v>
      </c>
      <c r="D123" s="4" t="s">
        <v>33</v>
      </c>
      <c r="E123" s="4"/>
      <c r="F123" s="4" t="s">
        <v>68</v>
      </c>
      <c r="G123" s="4" t="s">
        <v>69</v>
      </c>
      <c r="H123" s="4">
        <v>25</v>
      </c>
      <c r="I123" s="6">
        <v>18.399999999999999</v>
      </c>
      <c r="J123" s="4" t="s">
        <v>25</v>
      </c>
    </row>
    <row r="124" spans="1:10" x14ac:dyDescent="0.2">
      <c r="A124" s="4" t="s">
        <v>250</v>
      </c>
      <c r="B124" s="5">
        <v>45997</v>
      </c>
      <c r="C124" s="4" t="s">
        <v>109</v>
      </c>
      <c r="D124" s="4" t="s">
        <v>67</v>
      </c>
      <c r="E124" s="4" t="s">
        <v>89</v>
      </c>
      <c r="F124" s="4" t="s">
        <v>119</v>
      </c>
      <c r="G124" s="4" t="s">
        <v>30</v>
      </c>
      <c r="H124" s="4">
        <v>12</v>
      </c>
      <c r="I124" s="6">
        <v>189</v>
      </c>
      <c r="J124" s="4" t="s">
        <v>19</v>
      </c>
    </row>
    <row r="125" spans="1:10" x14ac:dyDescent="0.2">
      <c r="A125" s="4" t="s">
        <v>251</v>
      </c>
      <c r="B125" s="5">
        <v>46009</v>
      </c>
      <c r="C125" s="4" t="s">
        <v>87</v>
      </c>
      <c r="D125" s="4" t="s">
        <v>27</v>
      </c>
      <c r="E125" s="4" t="s">
        <v>23</v>
      </c>
      <c r="F125" s="4" t="s">
        <v>47</v>
      </c>
      <c r="G125" s="4" t="s">
        <v>40</v>
      </c>
      <c r="H125" s="4">
        <v>24</v>
      </c>
      <c r="I125" s="6">
        <v>21.99</v>
      </c>
      <c r="J125" s="4" t="s">
        <v>48</v>
      </c>
    </row>
    <row r="126" spans="1:10" x14ac:dyDescent="0.2">
      <c r="A126" s="4" t="s">
        <v>252</v>
      </c>
      <c r="B126" s="5">
        <v>46008</v>
      </c>
      <c r="C126" s="4" t="s">
        <v>215</v>
      </c>
      <c r="D126" s="4" t="s">
        <v>105</v>
      </c>
      <c r="E126" s="4" t="s">
        <v>63</v>
      </c>
      <c r="F126" s="4" t="s">
        <v>51</v>
      </c>
      <c r="G126" s="4" t="s">
        <v>30</v>
      </c>
      <c r="H126" s="4">
        <v>23</v>
      </c>
      <c r="I126" s="6">
        <v>340</v>
      </c>
      <c r="J126" s="4" t="s">
        <v>19</v>
      </c>
    </row>
    <row r="127" spans="1:10" x14ac:dyDescent="0.2">
      <c r="A127" s="4" t="s">
        <v>253</v>
      </c>
      <c r="B127" s="5">
        <v>45937</v>
      </c>
      <c r="C127" s="4" t="s">
        <v>75</v>
      </c>
      <c r="D127" s="4" t="s">
        <v>60</v>
      </c>
      <c r="E127" s="4" t="s">
        <v>28</v>
      </c>
      <c r="F127" s="4" t="s">
        <v>102</v>
      </c>
      <c r="G127" s="4" t="s">
        <v>103</v>
      </c>
      <c r="H127" s="4">
        <v>13</v>
      </c>
      <c r="I127" s="4" t="s">
        <v>128</v>
      </c>
      <c r="J127" s="4" t="s">
        <v>25</v>
      </c>
    </row>
    <row r="128" spans="1:10" x14ac:dyDescent="0.2">
      <c r="A128" s="4" t="s">
        <v>254</v>
      </c>
      <c r="B128" s="5">
        <v>45945</v>
      </c>
      <c r="C128" s="4" t="s">
        <v>57</v>
      </c>
      <c r="D128" s="4" t="s">
        <v>134</v>
      </c>
      <c r="E128" s="4" t="s">
        <v>63</v>
      </c>
      <c r="F128" s="4" t="s">
        <v>47</v>
      </c>
      <c r="G128" s="4" t="s">
        <v>40</v>
      </c>
      <c r="H128" s="4">
        <v>34</v>
      </c>
      <c r="I128" s="6">
        <v>21.99</v>
      </c>
      <c r="J128" s="4" t="s">
        <v>82</v>
      </c>
    </row>
    <row r="129" spans="1:10" x14ac:dyDescent="0.2">
      <c r="A129" s="4" t="s">
        <v>255</v>
      </c>
      <c r="B129" s="4" t="s">
        <v>256</v>
      </c>
      <c r="C129" s="4" t="s">
        <v>95</v>
      </c>
      <c r="D129" s="4" t="s">
        <v>62</v>
      </c>
      <c r="E129" s="4" t="s">
        <v>15</v>
      </c>
      <c r="F129" s="4" t="s">
        <v>29</v>
      </c>
      <c r="G129" s="4" t="s">
        <v>30</v>
      </c>
      <c r="H129" s="4">
        <v>3</v>
      </c>
      <c r="I129" s="6">
        <v>76.5</v>
      </c>
      <c r="J129" s="4" t="s">
        <v>82</v>
      </c>
    </row>
    <row r="130" spans="1:10" x14ac:dyDescent="0.2">
      <c r="A130" s="4" t="s">
        <v>257</v>
      </c>
      <c r="B130" s="5">
        <v>45950</v>
      </c>
      <c r="C130" s="4" t="s">
        <v>95</v>
      </c>
      <c r="D130" s="4" t="s">
        <v>149</v>
      </c>
      <c r="E130" s="4" t="s">
        <v>58</v>
      </c>
      <c r="F130" s="4" t="s">
        <v>122</v>
      </c>
      <c r="G130" s="4" t="s">
        <v>69</v>
      </c>
      <c r="H130" s="4">
        <v>25</v>
      </c>
      <c r="I130" s="6">
        <v>12.25</v>
      </c>
      <c r="J130" s="4" t="s">
        <v>19</v>
      </c>
    </row>
    <row r="131" spans="1:10" x14ac:dyDescent="0.2">
      <c r="A131" s="4" t="s">
        <v>258</v>
      </c>
      <c r="B131" s="5">
        <v>45998</v>
      </c>
      <c r="C131" s="4" t="s">
        <v>37</v>
      </c>
      <c r="D131" s="4" t="s">
        <v>33</v>
      </c>
      <c r="E131" s="4" t="s">
        <v>15</v>
      </c>
      <c r="F131" s="4" t="s">
        <v>29</v>
      </c>
      <c r="G131" s="4" t="s">
        <v>30</v>
      </c>
      <c r="H131" s="4">
        <v>26</v>
      </c>
      <c r="I131" s="6">
        <v>76.5</v>
      </c>
      <c r="J131" s="4" t="s">
        <v>48</v>
      </c>
    </row>
    <row r="132" spans="1:10" x14ac:dyDescent="0.2">
      <c r="A132" s="4" t="s">
        <v>259</v>
      </c>
      <c r="B132" s="5">
        <v>45990</v>
      </c>
      <c r="C132" s="4" t="s">
        <v>57</v>
      </c>
      <c r="D132" s="4" t="s">
        <v>154</v>
      </c>
      <c r="E132" s="4" t="s">
        <v>15</v>
      </c>
      <c r="F132" s="4" t="s">
        <v>39</v>
      </c>
      <c r="G132" s="4" t="s">
        <v>40</v>
      </c>
      <c r="H132" s="4" t="s">
        <v>76</v>
      </c>
      <c r="I132" s="4" t="s">
        <v>80</v>
      </c>
      <c r="J132" s="4" t="s">
        <v>48</v>
      </c>
    </row>
    <row r="133" spans="1:10" x14ac:dyDescent="0.2">
      <c r="A133" s="4" t="s">
        <v>260</v>
      </c>
      <c r="B133" s="5">
        <v>45994</v>
      </c>
      <c r="C133" s="4" t="s">
        <v>95</v>
      </c>
      <c r="D133" s="4" t="s">
        <v>79</v>
      </c>
      <c r="E133" s="4" t="s">
        <v>34</v>
      </c>
      <c r="F133" s="4" t="s">
        <v>16</v>
      </c>
      <c r="G133" s="4" t="s">
        <v>17</v>
      </c>
      <c r="H133" s="4">
        <v>19</v>
      </c>
      <c r="I133" s="4" t="s">
        <v>18</v>
      </c>
      <c r="J133" s="4" t="s">
        <v>35</v>
      </c>
    </row>
    <row r="134" spans="1:10" x14ac:dyDescent="0.2">
      <c r="A134" s="4" t="s">
        <v>261</v>
      </c>
      <c r="B134" s="4" t="s">
        <v>262</v>
      </c>
      <c r="C134" s="4" t="s">
        <v>46</v>
      </c>
      <c r="D134" s="4" t="s">
        <v>79</v>
      </c>
      <c r="E134" s="4"/>
      <c r="F134" s="4" t="s">
        <v>39</v>
      </c>
      <c r="G134" s="4" t="s">
        <v>40</v>
      </c>
      <c r="H134" s="4">
        <v>37</v>
      </c>
      <c r="I134" s="6">
        <v>44</v>
      </c>
      <c r="J134" s="4" t="s">
        <v>19</v>
      </c>
    </row>
    <row r="135" spans="1:10" x14ac:dyDescent="0.2">
      <c r="A135" s="4" t="s">
        <v>263</v>
      </c>
      <c r="B135" s="4" t="s">
        <v>264</v>
      </c>
      <c r="C135" s="4" t="s">
        <v>265</v>
      </c>
      <c r="D135" s="4" t="s">
        <v>33</v>
      </c>
      <c r="E135" s="4" t="s">
        <v>63</v>
      </c>
      <c r="F135" s="4" t="s">
        <v>122</v>
      </c>
      <c r="G135" s="4" t="s">
        <v>69</v>
      </c>
      <c r="H135" s="4">
        <v>7</v>
      </c>
      <c r="I135" s="6">
        <v>12.25</v>
      </c>
      <c r="J135" s="4" t="s">
        <v>25</v>
      </c>
    </row>
    <row r="136" spans="1:10" x14ac:dyDescent="0.2">
      <c r="A136" s="4" t="s">
        <v>266</v>
      </c>
      <c r="B136" s="4" t="s">
        <v>267</v>
      </c>
      <c r="C136" s="4" t="s">
        <v>75</v>
      </c>
      <c r="D136" s="4" t="s">
        <v>105</v>
      </c>
      <c r="E136" s="4" t="s">
        <v>44</v>
      </c>
      <c r="F136" s="4" t="s">
        <v>102</v>
      </c>
      <c r="G136" s="4" t="s">
        <v>103</v>
      </c>
      <c r="H136" s="4">
        <v>9</v>
      </c>
      <c r="I136" s="6">
        <v>24.5</v>
      </c>
      <c r="J136" s="4" t="s">
        <v>48</v>
      </c>
    </row>
    <row r="137" spans="1:10" x14ac:dyDescent="0.2">
      <c r="A137" s="4" t="s">
        <v>268</v>
      </c>
      <c r="B137" s="5">
        <v>45990</v>
      </c>
      <c r="C137" s="4" t="s">
        <v>32</v>
      </c>
      <c r="D137" s="4" t="s">
        <v>27</v>
      </c>
      <c r="E137" s="4" t="s">
        <v>15</v>
      </c>
      <c r="F137" s="4" t="s">
        <v>119</v>
      </c>
      <c r="G137" s="4" t="s">
        <v>30</v>
      </c>
      <c r="H137" s="4">
        <v>18</v>
      </c>
      <c r="I137" s="6">
        <v>189</v>
      </c>
      <c r="J137" s="4" t="s">
        <v>82</v>
      </c>
    </row>
    <row r="138" spans="1:10" x14ac:dyDescent="0.2">
      <c r="A138" s="4" t="s">
        <v>269</v>
      </c>
      <c r="B138" s="4" t="s">
        <v>71</v>
      </c>
      <c r="C138" s="4" t="s">
        <v>32</v>
      </c>
      <c r="D138" s="4" t="s">
        <v>33</v>
      </c>
      <c r="E138" s="4" t="s">
        <v>23</v>
      </c>
      <c r="F138" s="4" t="s">
        <v>24</v>
      </c>
      <c r="G138" s="4" t="s">
        <v>17</v>
      </c>
      <c r="H138" s="4">
        <v>38</v>
      </c>
      <c r="I138" s="6">
        <v>68</v>
      </c>
      <c r="J138" s="4" t="s">
        <v>35</v>
      </c>
    </row>
    <row r="139" spans="1:10" x14ac:dyDescent="0.2">
      <c r="A139" s="4" t="s">
        <v>270</v>
      </c>
      <c r="B139" s="5">
        <v>45935</v>
      </c>
      <c r="C139" s="4" t="s">
        <v>271</v>
      </c>
      <c r="D139" s="4" t="s">
        <v>149</v>
      </c>
      <c r="E139" s="4" t="s">
        <v>63</v>
      </c>
      <c r="F139" s="4" t="s">
        <v>24</v>
      </c>
      <c r="G139" s="4" t="s">
        <v>17</v>
      </c>
      <c r="H139" s="4">
        <v>39</v>
      </c>
      <c r="I139" s="4" t="s">
        <v>272</v>
      </c>
      <c r="J139" s="4" t="s">
        <v>35</v>
      </c>
    </row>
    <row r="140" spans="1:10" x14ac:dyDescent="0.2">
      <c r="A140" s="4" t="s">
        <v>273</v>
      </c>
      <c r="B140" s="5">
        <v>45997</v>
      </c>
      <c r="C140" s="4" t="s">
        <v>37</v>
      </c>
      <c r="D140" s="4" t="s">
        <v>33</v>
      </c>
      <c r="E140" s="4" t="s">
        <v>28</v>
      </c>
      <c r="F140" s="4" t="s">
        <v>51</v>
      </c>
      <c r="G140" s="4" t="s">
        <v>30</v>
      </c>
      <c r="H140" s="4">
        <v>8</v>
      </c>
      <c r="I140" s="6">
        <v>340</v>
      </c>
      <c r="J140" s="4" t="s">
        <v>19</v>
      </c>
    </row>
    <row r="141" spans="1:10" x14ac:dyDescent="0.2">
      <c r="A141" s="4" t="s">
        <v>274</v>
      </c>
      <c r="B141" s="4" t="s">
        <v>275</v>
      </c>
      <c r="C141" s="4" t="s">
        <v>46</v>
      </c>
      <c r="D141" s="4" t="s">
        <v>134</v>
      </c>
      <c r="E141" s="4"/>
      <c r="F141" s="4" t="s">
        <v>102</v>
      </c>
      <c r="G141" s="4" t="s">
        <v>103</v>
      </c>
      <c r="H141" s="4">
        <v>7</v>
      </c>
      <c r="I141" s="6">
        <v>24.5</v>
      </c>
      <c r="J141" s="4" t="s">
        <v>48</v>
      </c>
    </row>
    <row r="142" spans="1:10" x14ac:dyDescent="0.2">
      <c r="A142" s="4" t="s">
        <v>276</v>
      </c>
      <c r="B142" s="5">
        <v>45960</v>
      </c>
      <c r="C142" s="4" t="s">
        <v>113</v>
      </c>
      <c r="D142" s="4" t="s">
        <v>110</v>
      </c>
      <c r="E142" s="4" t="s">
        <v>15</v>
      </c>
      <c r="F142" s="4" t="s">
        <v>24</v>
      </c>
      <c r="G142" s="4" t="s">
        <v>17</v>
      </c>
      <c r="H142" s="4">
        <v>40</v>
      </c>
      <c r="I142" s="6">
        <v>68</v>
      </c>
      <c r="J142" s="4" t="s">
        <v>19</v>
      </c>
    </row>
    <row r="143" spans="1:10" x14ac:dyDescent="0.2">
      <c r="A143" s="4" t="s">
        <v>277</v>
      </c>
      <c r="B143" s="4" t="s">
        <v>262</v>
      </c>
      <c r="C143" s="4" t="s">
        <v>121</v>
      </c>
      <c r="D143" s="4" t="s">
        <v>43</v>
      </c>
      <c r="E143" s="4" t="s">
        <v>44</v>
      </c>
      <c r="F143" s="4" t="s">
        <v>122</v>
      </c>
      <c r="G143" s="4" t="s">
        <v>69</v>
      </c>
      <c r="H143" s="4">
        <v>24</v>
      </c>
      <c r="I143" s="6">
        <v>12.25</v>
      </c>
      <c r="J143" s="4" t="s">
        <v>19</v>
      </c>
    </row>
    <row r="144" spans="1:10" x14ac:dyDescent="0.2">
      <c r="A144" s="4" t="s">
        <v>278</v>
      </c>
      <c r="B144" s="5">
        <v>45951</v>
      </c>
      <c r="C144" s="4" t="s">
        <v>32</v>
      </c>
      <c r="D144" s="4" t="s">
        <v>154</v>
      </c>
      <c r="E144" s="4" t="s">
        <v>23</v>
      </c>
      <c r="F144" s="4" t="s">
        <v>51</v>
      </c>
      <c r="G144" s="4" t="s">
        <v>30</v>
      </c>
      <c r="H144" s="4">
        <v>20</v>
      </c>
      <c r="I144" s="6">
        <v>340</v>
      </c>
      <c r="J144" s="4" t="s">
        <v>35</v>
      </c>
    </row>
    <row r="145" spans="1:10" x14ac:dyDescent="0.2">
      <c r="A145" s="4" t="s">
        <v>279</v>
      </c>
      <c r="B145" s="5">
        <v>45937</v>
      </c>
      <c r="C145" s="4" t="s">
        <v>95</v>
      </c>
      <c r="D145" s="4" t="s">
        <v>33</v>
      </c>
      <c r="E145" s="4" t="s">
        <v>101</v>
      </c>
      <c r="F145" s="4" t="s">
        <v>16</v>
      </c>
      <c r="G145" s="4" t="s">
        <v>17</v>
      </c>
      <c r="H145" s="4">
        <v>15</v>
      </c>
      <c r="I145" s="6">
        <v>94.75</v>
      </c>
      <c r="J145" s="4" t="s">
        <v>25</v>
      </c>
    </row>
    <row r="146" spans="1:10" x14ac:dyDescent="0.2">
      <c r="A146" s="4" t="s">
        <v>280</v>
      </c>
      <c r="B146" s="5">
        <v>45993</v>
      </c>
      <c r="C146" s="4" t="s">
        <v>37</v>
      </c>
      <c r="D146" s="4" t="s">
        <v>22</v>
      </c>
      <c r="E146" s="4" t="s">
        <v>63</v>
      </c>
      <c r="F146" s="4" t="s">
        <v>122</v>
      </c>
      <c r="G146" s="4" t="s">
        <v>69</v>
      </c>
      <c r="H146" s="4">
        <v>22</v>
      </c>
      <c r="I146" s="6">
        <v>12.25</v>
      </c>
      <c r="J146" s="4" t="s">
        <v>35</v>
      </c>
    </row>
    <row r="147" spans="1:10" x14ac:dyDescent="0.2">
      <c r="A147" s="4" t="s">
        <v>281</v>
      </c>
      <c r="B147" s="4" t="s">
        <v>282</v>
      </c>
      <c r="C147" s="4" t="s">
        <v>75</v>
      </c>
      <c r="D147" s="4" t="s">
        <v>149</v>
      </c>
      <c r="E147" s="4" t="s">
        <v>23</v>
      </c>
      <c r="F147" s="4" t="s">
        <v>29</v>
      </c>
      <c r="G147" s="4" t="s">
        <v>30</v>
      </c>
      <c r="H147" s="4">
        <v>21</v>
      </c>
      <c r="I147" s="6">
        <v>76.5</v>
      </c>
      <c r="J147" s="4" t="s">
        <v>82</v>
      </c>
    </row>
    <row r="148" spans="1:10" x14ac:dyDescent="0.2">
      <c r="A148" s="4" t="s">
        <v>283</v>
      </c>
      <c r="B148" s="4" t="s">
        <v>284</v>
      </c>
      <c r="C148" s="4" t="s">
        <v>46</v>
      </c>
      <c r="D148" s="4" t="s">
        <v>62</v>
      </c>
      <c r="E148" s="4" t="s">
        <v>23</v>
      </c>
      <c r="F148" s="4" t="s">
        <v>16</v>
      </c>
      <c r="G148" s="4" t="s">
        <v>17</v>
      </c>
      <c r="H148" s="4">
        <v>21</v>
      </c>
      <c r="I148" s="6">
        <v>94.75</v>
      </c>
      <c r="J148" s="4" t="s">
        <v>48</v>
      </c>
    </row>
    <row r="149" spans="1:10" x14ac:dyDescent="0.2">
      <c r="A149" s="4" t="s">
        <v>285</v>
      </c>
      <c r="B149" s="5">
        <v>46000</v>
      </c>
      <c r="C149" s="4" t="s">
        <v>286</v>
      </c>
      <c r="D149" s="4" t="s">
        <v>33</v>
      </c>
      <c r="E149" s="4" t="s">
        <v>44</v>
      </c>
      <c r="F149" s="4" t="s">
        <v>16</v>
      </c>
      <c r="G149" s="4" t="s">
        <v>17</v>
      </c>
      <c r="H149" s="4">
        <v>16</v>
      </c>
      <c r="I149" s="6">
        <v>94.75</v>
      </c>
      <c r="J149" s="4" t="s">
        <v>48</v>
      </c>
    </row>
    <row r="150" spans="1:10" x14ac:dyDescent="0.2">
      <c r="A150" s="4" t="s">
        <v>287</v>
      </c>
      <c r="B150" s="5">
        <v>45972</v>
      </c>
      <c r="C150" s="4" t="s">
        <v>21</v>
      </c>
      <c r="D150" s="4" t="s">
        <v>149</v>
      </c>
      <c r="E150" s="4" t="s">
        <v>15</v>
      </c>
      <c r="F150" s="4" t="s">
        <v>39</v>
      </c>
      <c r="G150" s="4" t="s">
        <v>40</v>
      </c>
      <c r="H150" s="4">
        <v>6</v>
      </c>
      <c r="I150" s="6">
        <v>44</v>
      </c>
      <c r="J150" s="4" t="s">
        <v>25</v>
      </c>
    </row>
    <row r="151" spans="1:10" x14ac:dyDescent="0.2">
      <c r="A151" s="4" t="s">
        <v>232</v>
      </c>
      <c r="B151" s="5">
        <v>45989</v>
      </c>
      <c r="C151" s="4" t="s">
        <v>233</v>
      </c>
      <c r="D151" s="4" t="s">
        <v>38</v>
      </c>
      <c r="E151" s="4"/>
      <c r="F151" s="4" t="s">
        <v>39</v>
      </c>
      <c r="G151" s="4" t="s">
        <v>40</v>
      </c>
      <c r="H151" s="4">
        <v>18</v>
      </c>
      <c r="I151" s="6">
        <v>44</v>
      </c>
      <c r="J151" s="4" t="s">
        <v>35</v>
      </c>
    </row>
    <row r="152" spans="1:10" x14ac:dyDescent="0.2">
      <c r="A152" s="4" t="s">
        <v>288</v>
      </c>
      <c r="B152" s="5">
        <v>45970</v>
      </c>
      <c r="C152" s="4" t="s">
        <v>13</v>
      </c>
      <c r="D152" s="4" t="s">
        <v>105</v>
      </c>
      <c r="E152" s="4" t="s">
        <v>63</v>
      </c>
      <c r="F152" s="4" t="s">
        <v>29</v>
      </c>
      <c r="G152" s="4" t="s">
        <v>30</v>
      </c>
      <c r="H152" s="4">
        <v>2</v>
      </c>
      <c r="I152" s="6">
        <v>76.5</v>
      </c>
      <c r="J152" s="4" t="s">
        <v>19</v>
      </c>
    </row>
    <row r="153" spans="1:10" x14ac:dyDescent="0.2">
      <c r="A153" s="4" t="s">
        <v>289</v>
      </c>
      <c r="B153" s="5">
        <v>45963</v>
      </c>
      <c r="C153" s="4" t="s">
        <v>148</v>
      </c>
      <c r="D153" s="4" t="s">
        <v>105</v>
      </c>
      <c r="E153" s="4" t="s">
        <v>63</v>
      </c>
      <c r="F153" s="4" t="s">
        <v>102</v>
      </c>
      <c r="G153" s="4" t="s">
        <v>103</v>
      </c>
      <c r="H153" s="4">
        <v>40</v>
      </c>
      <c r="I153" s="6">
        <v>24.5</v>
      </c>
      <c r="J153" s="4" t="s">
        <v>19</v>
      </c>
    </row>
    <row r="154" spans="1:10" x14ac:dyDescent="0.2">
      <c r="A154" s="4" t="s">
        <v>290</v>
      </c>
      <c r="B154" s="5">
        <v>46019</v>
      </c>
      <c r="C154" s="4" t="s">
        <v>148</v>
      </c>
      <c r="D154" s="4" t="s">
        <v>60</v>
      </c>
      <c r="E154" s="4" t="s">
        <v>15</v>
      </c>
      <c r="F154" s="4" t="s">
        <v>47</v>
      </c>
      <c r="G154" s="4" t="s">
        <v>40</v>
      </c>
      <c r="H154" s="4">
        <v>28</v>
      </c>
      <c r="I154" s="6">
        <v>21.99</v>
      </c>
      <c r="J154" s="4" t="s">
        <v>48</v>
      </c>
    </row>
    <row r="155" spans="1:10" x14ac:dyDescent="0.2">
      <c r="A155" s="4" t="s">
        <v>291</v>
      </c>
      <c r="B155" s="4" t="s">
        <v>292</v>
      </c>
      <c r="C155" s="4" t="s">
        <v>148</v>
      </c>
      <c r="D155" s="4" t="s">
        <v>88</v>
      </c>
      <c r="E155" s="4" t="s">
        <v>28</v>
      </c>
      <c r="F155" s="4" t="s">
        <v>119</v>
      </c>
      <c r="G155" s="4" t="s">
        <v>30</v>
      </c>
      <c r="H155" s="4" t="s">
        <v>169</v>
      </c>
      <c r="I155" s="6">
        <v>189</v>
      </c>
      <c r="J155" s="4" t="s">
        <v>35</v>
      </c>
    </row>
    <row r="156" spans="1:10" x14ac:dyDescent="0.2">
      <c r="A156" s="4" t="s">
        <v>293</v>
      </c>
      <c r="B156" s="5">
        <v>45981</v>
      </c>
      <c r="C156" s="4" t="s">
        <v>164</v>
      </c>
      <c r="D156" s="4" t="s">
        <v>33</v>
      </c>
      <c r="E156" s="4" t="s">
        <v>23</v>
      </c>
      <c r="F156" s="4" t="s">
        <v>68</v>
      </c>
      <c r="G156" s="4" t="s">
        <v>69</v>
      </c>
      <c r="H156" s="4">
        <v>26</v>
      </c>
      <c r="I156" s="6">
        <v>18.399999999999999</v>
      </c>
      <c r="J156" s="4" t="s">
        <v>19</v>
      </c>
    </row>
    <row r="157" spans="1:10" x14ac:dyDescent="0.2">
      <c r="A157" s="4" t="s">
        <v>294</v>
      </c>
      <c r="B157" s="5">
        <v>45958</v>
      </c>
      <c r="C157" s="4" t="s">
        <v>87</v>
      </c>
      <c r="D157" s="4" t="s">
        <v>105</v>
      </c>
      <c r="E157" s="4" t="s">
        <v>34</v>
      </c>
      <c r="F157" s="4" t="s">
        <v>119</v>
      </c>
      <c r="G157" s="4" t="s">
        <v>30</v>
      </c>
      <c r="H157" s="4">
        <v>20</v>
      </c>
      <c r="I157" s="6">
        <v>189</v>
      </c>
      <c r="J157" s="4" t="s">
        <v>19</v>
      </c>
    </row>
    <row r="158" spans="1:10" x14ac:dyDescent="0.2">
      <c r="A158" s="4" t="s">
        <v>295</v>
      </c>
      <c r="B158" s="5">
        <v>46015</v>
      </c>
      <c r="C158" s="4" t="s">
        <v>54</v>
      </c>
      <c r="D158" s="4" t="s">
        <v>43</v>
      </c>
      <c r="E158" s="4" t="s">
        <v>23</v>
      </c>
      <c r="F158" s="4" t="s">
        <v>122</v>
      </c>
      <c r="G158" s="4" t="s">
        <v>69</v>
      </c>
      <c r="H158" s="4">
        <v>18</v>
      </c>
      <c r="I158" s="6">
        <v>12.25</v>
      </c>
      <c r="J158" s="4" t="s">
        <v>19</v>
      </c>
    </row>
    <row r="159" spans="1:10" x14ac:dyDescent="0.2">
      <c r="A159" s="4" t="s">
        <v>296</v>
      </c>
      <c r="B159" s="4" t="s">
        <v>74</v>
      </c>
      <c r="C159" s="4" t="s">
        <v>42</v>
      </c>
      <c r="D159" s="4" t="s">
        <v>62</v>
      </c>
      <c r="E159" s="4" t="s">
        <v>297</v>
      </c>
      <c r="F159" s="4" t="s">
        <v>29</v>
      </c>
      <c r="G159" s="4" t="s">
        <v>30</v>
      </c>
      <c r="H159" s="4">
        <v>25</v>
      </c>
      <c r="I159" s="6">
        <v>76.5</v>
      </c>
      <c r="J159" s="4" t="s">
        <v>25</v>
      </c>
    </row>
    <row r="160" spans="1:10" x14ac:dyDescent="0.2">
      <c r="A160" s="4" t="s">
        <v>298</v>
      </c>
      <c r="B160" s="5">
        <v>45967</v>
      </c>
      <c r="C160" s="4" t="s">
        <v>75</v>
      </c>
      <c r="D160" s="4" t="s">
        <v>149</v>
      </c>
      <c r="E160" s="4" t="s">
        <v>15</v>
      </c>
      <c r="F160" s="4" t="s">
        <v>47</v>
      </c>
      <c r="G160" s="4" t="s">
        <v>40</v>
      </c>
      <c r="H160" s="4">
        <v>4</v>
      </c>
      <c r="I160" s="6">
        <v>21.99</v>
      </c>
      <c r="J160" s="4" t="s">
        <v>25</v>
      </c>
    </row>
    <row r="161" spans="1:10" x14ac:dyDescent="0.2">
      <c r="A161" s="4" t="s">
        <v>299</v>
      </c>
      <c r="B161" s="5">
        <v>45986</v>
      </c>
      <c r="C161" s="4" t="s">
        <v>87</v>
      </c>
      <c r="D161" s="4" t="s">
        <v>110</v>
      </c>
      <c r="E161" s="4" t="s">
        <v>63</v>
      </c>
      <c r="F161" s="4" t="s">
        <v>102</v>
      </c>
      <c r="G161" s="4" t="s">
        <v>103</v>
      </c>
      <c r="H161" s="4" t="s">
        <v>76</v>
      </c>
      <c r="I161" s="6">
        <v>24.5</v>
      </c>
      <c r="J161" s="4" t="s">
        <v>35</v>
      </c>
    </row>
    <row r="162" spans="1:10" x14ac:dyDescent="0.2">
      <c r="A162" s="4" t="s">
        <v>300</v>
      </c>
      <c r="B162" s="5">
        <v>45991</v>
      </c>
      <c r="C162" s="4" t="s">
        <v>265</v>
      </c>
      <c r="D162" s="4" t="s">
        <v>38</v>
      </c>
      <c r="E162" s="4" t="s">
        <v>63</v>
      </c>
      <c r="F162" s="4" t="s">
        <v>119</v>
      </c>
      <c r="G162" s="4" t="s">
        <v>30</v>
      </c>
      <c r="H162" s="4">
        <v>37</v>
      </c>
      <c r="I162" s="6">
        <v>189</v>
      </c>
      <c r="J162" s="4" t="s">
        <v>35</v>
      </c>
    </row>
    <row r="163" spans="1:10" x14ac:dyDescent="0.2">
      <c r="A163" s="4" t="s">
        <v>301</v>
      </c>
      <c r="B163" s="4" t="s">
        <v>173</v>
      </c>
      <c r="C163" s="4" t="s">
        <v>57</v>
      </c>
      <c r="D163" s="4" t="s">
        <v>22</v>
      </c>
      <c r="E163" s="4" t="s">
        <v>28</v>
      </c>
      <c r="F163" s="4" t="s">
        <v>102</v>
      </c>
      <c r="G163" s="4" t="s">
        <v>103</v>
      </c>
      <c r="H163" s="4">
        <v>36</v>
      </c>
      <c r="I163" s="6">
        <v>24.5</v>
      </c>
      <c r="J163" s="4" t="s">
        <v>82</v>
      </c>
    </row>
    <row r="164" spans="1:10" x14ac:dyDescent="0.2">
      <c r="A164" s="4" t="s">
        <v>302</v>
      </c>
      <c r="B164" s="5">
        <v>45944</v>
      </c>
      <c r="C164" s="4" t="s">
        <v>50</v>
      </c>
      <c r="D164" s="4" t="s">
        <v>33</v>
      </c>
      <c r="E164" s="4" t="s">
        <v>23</v>
      </c>
      <c r="F164" s="4" t="s">
        <v>51</v>
      </c>
      <c r="G164" s="4" t="s">
        <v>30</v>
      </c>
      <c r="H164" s="4">
        <v>20</v>
      </c>
      <c r="I164" s="4" t="s">
        <v>52</v>
      </c>
      <c r="J164" s="4" t="s">
        <v>19</v>
      </c>
    </row>
    <row r="165" spans="1:10" x14ac:dyDescent="0.2">
      <c r="A165" s="4" t="s">
        <v>303</v>
      </c>
      <c r="B165" s="4" t="s">
        <v>212</v>
      </c>
      <c r="C165" s="4" t="s">
        <v>21</v>
      </c>
      <c r="D165" s="4" t="s">
        <v>62</v>
      </c>
      <c r="E165" s="4" t="s">
        <v>15</v>
      </c>
      <c r="F165" s="4" t="s">
        <v>102</v>
      </c>
      <c r="G165" s="4" t="s">
        <v>103</v>
      </c>
      <c r="H165" s="4" t="s">
        <v>76</v>
      </c>
      <c r="I165" s="6">
        <v>24.5</v>
      </c>
      <c r="J165" s="4" t="s">
        <v>35</v>
      </c>
    </row>
    <row r="166" spans="1:10" x14ac:dyDescent="0.2">
      <c r="A166" s="4" t="s">
        <v>304</v>
      </c>
      <c r="B166" s="5">
        <v>45967</v>
      </c>
      <c r="C166" s="4" t="s">
        <v>46</v>
      </c>
      <c r="D166" s="4" t="s">
        <v>43</v>
      </c>
      <c r="E166" s="4" t="s">
        <v>297</v>
      </c>
      <c r="F166" s="4" t="s">
        <v>122</v>
      </c>
      <c r="G166" s="4" t="s">
        <v>69</v>
      </c>
      <c r="H166" s="4">
        <v>32</v>
      </c>
      <c r="I166" s="6">
        <v>12.25</v>
      </c>
      <c r="J166" s="4" t="s">
        <v>82</v>
      </c>
    </row>
    <row r="167" spans="1:10" x14ac:dyDescent="0.2">
      <c r="A167" s="4" t="s">
        <v>305</v>
      </c>
      <c r="B167" s="5">
        <v>45937</v>
      </c>
      <c r="C167" s="4" t="s">
        <v>50</v>
      </c>
      <c r="D167" s="4" t="s">
        <v>14</v>
      </c>
      <c r="E167" s="4" t="s">
        <v>58</v>
      </c>
      <c r="F167" s="4" t="s">
        <v>122</v>
      </c>
      <c r="G167" s="4" t="s">
        <v>69</v>
      </c>
      <c r="H167" s="4">
        <v>4</v>
      </c>
      <c r="I167" s="6">
        <v>12.25</v>
      </c>
      <c r="J167" s="4" t="s">
        <v>25</v>
      </c>
    </row>
    <row r="168" spans="1:10" x14ac:dyDescent="0.2">
      <c r="A168" s="4" t="s">
        <v>306</v>
      </c>
      <c r="B168" s="4" t="s">
        <v>307</v>
      </c>
      <c r="C168" s="4" t="s">
        <v>109</v>
      </c>
      <c r="D168" s="4" t="s">
        <v>27</v>
      </c>
      <c r="E168" s="4" t="s">
        <v>34</v>
      </c>
      <c r="F168" s="4" t="s">
        <v>47</v>
      </c>
      <c r="G168" s="4" t="s">
        <v>40</v>
      </c>
      <c r="H168" s="4">
        <v>14</v>
      </c>
      <c r="I168" s="4" t="s">
        <v>209</v>
      </c>
      <c r="J168" s="4" t="s">
        <v>35</v>
      </c>
    </row>
    <row r="169" spans="1:10" x14ac:dyDescent="0.2">
      <c r="A169" s="4" t="s">
        <v>280</v>
      </c>
      <c r="B169" s="5">
        <v>45993</v>
      </c>
      <c r="C169" s="4" t="s">
        <v>37</v>
      </c>
      <c r="D169" s="4" t="s">
        <v>22</v>
      </c>
      <c r="E169" s="4" t="s">
        <v>63</v>
      </c>
      <c r="F169" s="4" t="s">
        <v>122</v>
      </c>
      <c r="G169" s="4" t="s">
        <v>69</v>
      </c>
      <c r="H169" s="4">
        <v>22</v>
      </c>
      <c r="I169" s="6">
        <v>12.25</v>
      </c>
      <c r="J169" s="4" t="s">
        <v>35</v>
      </c>
    </row>
    <row r="170" spans="1:10" x14ac:dyDescent="0.2">
      <c r="A170" s="4" t="s">
        <v>308</v>
      </c>
      <c r="B170" s="5">
        <v>46015</v>
      </c>
      <c r="C170" s="4" t="s">
        <v>215</v>
      </c>
      <c r="D170" s="4" t="s">
        <v>67</v>
      </c>
      <c r="E170" s="4" t="s">
        <v>23</v>
      </c>
      <c r="F170" s="4" t="s">
        <v>68</v>
      </c>
      <c r="G170" s="4" t="s">
        <v>69</v>
      </c>
      <c r="H170" s="4">
        <v>12</v>
      </c>
      <c r="I170" s="6">
        <v>18.399999999999999</v>
      </c>
      <c r="J170" s="4" t="s">
        <v>35</v>
      </c>
    </row>
    <row r="171" spans="1:10" x14ac:dyDescent="0.2">
      <c r="A171" s="4" t="s">
        <v>309</v>
      </c>
      <c r="B171" s="5">
        <v>45957</v>
      </c>
      <c r="C171" s="4" t="s">
        <v>286</v>
      </c>
      <c r="D171" s="4" t="s">
        <v>79</v>
      </c>
      <c r="E171" s="4" t="s">
        <v>28</v>
      </c>
      <c r="F171" s="4" t="s">
        <v>68</v>
      </c>
      <c r="G171" s="4" t="s">
        <v>69</v>
      </c>
      <c r="H171" s="4">
        <v>18</v>
      </c>
      <c r="I171" s="6">
        <v>18.399999999999999</v>
      </c>
      <c r="J171" s="4" t="s">
        <v>25</v>
      </c>
    </row>
    <row r="172" spans="1:10" x14ac:dyDescent="0.2">
      <c r="A172" s="4" t="s">
        <v>310</v>
      </c>
      <c r="B172" s="5">
        <v>45970</v>
      </c>
      <c r="C172" s="4" t="s">
        <v>13</v>
      </c>
      <c r="D172" s="4" t="s">
        <v>105</v>
      </c>
      <c r="E172" s="4"/>
      <c r="F172" s="4" t="s">
        <v>119</v>
      </c>
      <c r="G172" s="4" t="s">
        <v>30</v>
      </c>
      <c r="H172" s="4">
        <v>28</v>
      </c>
      <c r="I172" s="4" t="s">
        <v>162</v>
      </c>
      <c r="J172" s="4" t="s">
        <v>19</v>
      </c>
    </row>
    <row r="173" spans="1:10" x14ac:dyDescent="0.2">
      <c r="A173" s="4" t="s">
        <v>311</v>
      </c>
      <c r="B173" s="5">
        <v>45992</v>
      </c>
      <c r="C173" s="4" t="s">
        <v>75</v>
      </c>
      <c r="D173" s="4" t="s">
        <v>105</v>
      </c>
      <c r="E173" s="4" t="s">
        <v>34</v>
      </c>
      <c r="F173" s="4" t="s">
        <v>29</v>
      </c>
      <c r="G173" s="4" t="s">
        <v>30</v>
      </c>
      <c r="H173" s="4">
        <v>19</v>
      </c>
      <c r="I173" s="6">
        <v>76.5</v>
      </c>
      <c r="J173" s="4" t="s">
        <v>35</v>
      </c>
    </row>
    <row r="174" spans="1:10" x14ac:dyDescent="0.2">
      <c r="A174" s="4" t="s">
        <v>312</v>
      </c>
      <c r="B174" s="4" t="s">
        <v>313</v>
      </c>
      <c r="C174" s="4" t="s">
        <v>95</v>
      </c>
      <c r="D174" s="4" t="s">
        <v>110</v>
      </c>
      <c r="E174" s="4" t="s">
        <v>58</v>
      </c>
      <c r="F174" s="4" t="s">
        <v>102</v>
      </c>
      <c r="G174" s="4" t="s">
        <v>103</v>
      </c>
      <c r="H174" s="4">
        <v>2</v>
      </c>
      <c r="I174" s="6">
        <v>24.5</v>
      </c>
      <c r="J174" s="4" t="s">
        <v>82</v>
      </c>
    </row>
    <row r="175" spans="1:10" x14ac:dyDescent="0.2">
      <c r="A175" s="4" t="s">
        <v>314</v>
      </c>
      <c r="B175" s="5">
        <v>46011</v>
      </c>
      <c r="C175" s="4" t="s">
        <v>164</v>
      </c>
      <c r="D175" s="4" t="s">
        <v>27</v>
      </c>
      <c r="E175" s="4" t="s">
        <v>15</v>
      </c>
      <c r="F175" s="4" t="s">
        <v>24</v>
      </c>
      <c r="G175" s="4" t="s">
        <v>17</v>
      </c>
      <c r="H175" s="4">
        <v>17</v>
      </c>
      <c r="I175" s="6">
        <v>68</v>
      </c>
      <c r="J175" s="4" t="s">
        <v>19</v>
      </c>
    </row>
    <row r="176" spans="1:10" x14ac:dyDescent="0.2">
      <c r="A176" s="4" t="s">
        <v>315</v>
      </c>
      <c r="B176" s="5">
        <v>45951</v>
      </c>
      <c r="C176" s="4" t="s">
        <v>46</v>
      </c>
      <c r="D176" s="4" t="s">
        <v>43</v>
      </c>
      <c r="E176" s="4" t="s">
        <v>23</v>
      </c>
      <c r="F176" s="4" t="s">
        <v>39</v>
      </c>
      <c r="G176" s="4" t="s">
        <v>40</v>
      </c>
      <c r="H176" s="4" t="s">
        <v>316</v>
      </c>
      <c r="I176" s="6">
        <v>44</v>
      </c>
      <c r="J176" s="4" t="s">
        <v>48</v>
      </c>
    </row>
    <row r="177" spans="1:10" x14ac:dyDescent="0.2">
      <c r="A177" s="4" t="s">
        <v>317</v>
      </c>
      <c r="B177" s="4" t="s">
        <v>318</v>
      </c>
      <c r="C177" s="4" t="s">
        <v>46</v>
      </c>
      <c r="D177" s="4" t="s">
        <v>67</v>
      </c>
      <c r="E177" s="4" t="s">
        <v>15</v>
      </c>
      <c r="F177" s="4" t="s">
        <v>24</v>
      </c>
      <c r="G177" s="4" t="s">
        <v>17</v>
      </c>
      <c r="H177" s="4">
        <v>18</v>
      </c>
      <c r="I177" s="4" t="s">
        <v>272</v>
      </c>
      <c r="J177" s="4" t="s">
        <v>35</v>
      </c>
    </row>
    <row r="178" spans="1:10" x14ac:dyDescent="0.2">
      <c r="A178" s="4" t="s">
        <v>319</v>
      </c>
      <c r="B178" s="5">
        <v>45955</v>
      </c>
      <c r="C178" s="4" t="s">
        <v>75</v>
      </c>
      <c r="D178" s="4" t="s">
        <v>43</v>
      </c>
      <c r="E178" s="4" t="s">
        <v>34</v>
      </c>
      <c r="F178" s="4" t="s">
        <v>39</v>
      </c>
      <c r="G178" s="4" t="s">
        <v>40</v>
      </c>
      <c r="H178" s="4">
        <v>7</v>
      </c>
      <c r="I178" s="4" t="s">
        <v>80</v>
      </c>
      <c r="J178" s="4" t="s">
        <v>35</v>
      </c>
    </row>
    <row r="179" spans="1:10" x14ac:dyDescent="0.2">
      <c r="A179" s="4" t="s">
        <v>320</v>
      </c>
      <c r="B179" s="5">
        <v>45962</v>
      </c>
      <c r="C179" s="4" t="s">
        <v>215</v>
      </c>
      <c r="D179" s="4" t="s">
        <v>110</v>
      </c>
      <c r="E179" s="4" t="s">
        <v>34</v>
      </c>
      <c r="F179" s="4" t="s">
        <v>24</v>
      </c>
      <c r="G179" s="4" t="s">
        <v>17</v>
      </c>
      <c r="H179" s="4">
        <v>21</v>
      </c>
      <c r="I179" s="6">
        <v>68</v>
      </c>
      <c r="J179" s="4" t="s">
        <v>48</v>
      </c>
    </row>
    <row r="180" spans="1:10" x14ac:dyDescent="0.2">
      <c r="A180" s="4" t="s">
        <v>321</v>
      </c>
      <c r="B180" s="5">
        <v>45979</v>
      </c>
      <c r="C180" s="4" t="s">
        <v>109</v>
      </c>
      <c r="D180" s="4" t="s">
        <v>110</v>
      </c>
      <c r="E180" s="4" t="s">
        <v>15</v>
      </c>
      <c r="F180" s="4" t="s">
        <v>24</v>
      </c>
      <c r="G180" s="4" t="s">
        <v>17</v>
      </c>
      <c r="H180" s="4">
        <v>29</v>
      </c>
      <c r="I180" s="6">
        <v>68</v>
      </c>
      <c r="J180" s="4" t="s">
        <v>48</v>
      </c>
    </row>
    <row r="181" spans="1:10" x14ac:dyDescent="0.2">
      <c r="A181" s="4" t="s">
        <v>322</v>
      </c>
      <c r="B181" s="4" t="s">
        <v>66</v>
      </c>
      <c r="C181" s="4" t="s">
        <v>54</v>
      </c>
      <c r="D181" s="4" t="s">
        <v>27</v>
      </c>
      <c r="E181" s="4" t="s">
        <v>15</v>
      </c>
      <c r="F181" s="4" t="s">
        <v>51</v>
      </c>
      <c r="G181" s="4" t="s">
        <v>30</v>
      </c>
      <c r="H181" s="4">
        <v>28</v>
      </c>
      <c r="I181" s="6">
        <v>340</v>
      </c>
      <c r="J181" s="4" t="s">
        <v>19</v>
      </c>
    </row>
    <row r="182" spans="1:10" x14ac:dyDescent="0.2">
      <c r="A182" s="4" t="s">
        <v>168</v>
      </c>
      <c r="B182" s="5">
        <v>45985</v>
      </c>
      <c r="C182" s="4" t="s">
        <v>164</v>
      </c>
      <c r="D182" s="4" t="s">
        <v>88</v>
      </c>
      <c r="E182" s="4" t="s">
        <v>34</v>
      </c>
      <c r="F182" s="4" t="s">
        <v>47</v>
      </c>
      <c r="G182" s="4" t="s">
        <v>40</v>
      </c>
      <c r="H182" s="4" t="s">
        <v>169</v>
      </c>
      <c r="I182" s="6">
        <v>21.99</v>
      </c>
      <c r="J182" s="4" t="s">
        <v>82</v>
      </c>
    </row>
    <row r="183" spans="1:10" x14ac:dyDescent="0.2">
      <c r="A183" s="4" t="s">
        <v>323</v>
      </c>
      <c r="B183" s="5">
        <v>45950</v>
      </c>
      <c r="C183" s="4" t="s">
        <v>42</v>
      </c>
      <c r="D183" s="4" t="s">
        <v>43</v>
      </c>
      <c r="E183" s="4" t="s">
        <v>23</v>
      </c>
      <c r="F183" s="4" t="s">
        <v>51</v>
      </c>
      <c r="G183" s="4" t="s">
        <v>30</v>
      </c>
      <c r="H183" s="4" t="s">
        <v>324</v>
      </c>
      <c r="I183" s="6">
        <v>340</v>
      </c>
      <c r="J183" s="4" t="s">
        <v>82</v>
      </c>
    </row>
    <row r="184" spans="1:10" x14ac:dyDescent="0.2">
      <c r="A184" s="4" t="s">
        <v>325</v>
      </c>
      <c r="B184" s="5">
        <v>45956</v>
      </c>
      <c r="C184" s="4" t="s">
        <v>87</v>
      </c>
      <c r="D184" s="4" t="s">
        <v>149</v>
      </c>
      <c r="E184" s="4" t="s">
        <v>34</v>
      </c>
      <c r="F184" s="4" t="s">
        <v>47</v>
      </c>
      <c r="G184" s="4" t="s">
        <v>40</v>
      </c>
      <c r="H184" s="4">
        <v>31</v>
      </c>
      <c r="I184" s="6">
        <v>21.99</v>
      </c>
      <c r="J184" s="4" t="s">
        <v>25</v>
      </c>
    </row>
    <row r="185" spans="1:10" x14ac:dyDescent="0.2">
      <c r="A185" s="4" t="s">
        <v>326</v>
      </c>
      <c r="B185" s="5">
        <v>46000</v>
      </c>
      <c r="C185" s="4" t="s">
        <v>54</v>
      </c>
      <c r="D185" s="4" t="s">
        <v>27</v>
      </c>
      <c r="E185" s="4" t="s">
        <v>23</v>
      </c>
      <c r="F185" s="4" t="s">
        <v>68</v>
      </c>
      <c r="G185" s="4" t="s">
        <v>69</v>
      </c>
      <c r="H185" s="4">
        <v>9</v>
      </c>
      <c r="I185" s="6">
        <v>18.399999999999999</v>
      </c>
      <c r="J185" s="4" t="s">
        <v>19</v>
      </c>
    </row>
    <row r="186" spans="1:10" x14ac:dyDescent="0.2">
      <c r="A186" s="4" t="s">
        <v>327</v>
      </c>
      <c r="B186" s="5">
        <v>46003</v>
      </c>
      <c r="C186" s="4" t="s">
        <v>328</v>
      </c>
      <c r="D186" s="4" t="s">
        <v>27</v>
      </c>
      <c r="E186" s="4" t="s">
        <v>34</v>
      </c>
      <c r="F186" s="4" t="s">
        <v>122</v>
      </c>
      <c r="G186" s="4" t="s">
        <v>69</v>
      </c>
      <c r="H186" s="4">
        <v>21</v>
      </c>
      <c r="I186" s="6">
        <v>12.25</v>
      </c>
      <c r="J186" s="4" t="s">
        <v>82</v>
      </c>
    </row>
    <row r="187" spans="1:10" x14ac:dyDescent="0.2">
      <c r="A187" s="4" t="s">
        <v>329</v>
      </c>
      <c r="B187" s="5">
        <v>45993</v>
      </c>
      <c r="C187" s="4" t="s">
        <v>32</v>
      </c>
      <c r="D187" s="4" t="s">
        <v>22</v>
      </c>
      <c r="E187" s="4" t="s">
        <v>28</v>
      </c>
      <c r="F187" s="4" t="s">
        <v>29</v>
      </c>
      <c r="G187" s="4" t="s">
        <v>30</v>
      </c>
      <c r="H187" s="4">
        <v>40</v>
      </c>
      <c r="I187" s="6">
        <v>76.5</v>
      </c>
      <c r="J187" s="4" t="s">
        <v>19</v>
      </c>
    </row>
    <row r="188" spans="1:10" x14ac:dyDescent="0.2">
      <c r="A188" s="4" t="s">
        <v>330</v>
      </c>
      <c r="B188" s="5">
        <v>46018</v>
      </c>
      <c r="C188" s="4" t="s">
        <v>42</v>
      </c>
      <c r="D188" s="4" t="s">
        <v>105</v>
      </c>
      <c r="E188" s="4"/>
      <c r="F188" s="4" t="s">
        <v>68</v>
      </c>
      <c r="G188" s="4" t="s">
        <v>69</v>
      </c>
      <c r="H188" s="4">
        <v>5</v>
      </c>
      <c r="I188" s="6">
        <v>18.399999999999999</v>
      </c>
      <c r="J188" s="4" t="s">
        <v>82</v>
      </c>
    </row>
    <row r="189" spans="1:10" x14ac:dyDescent="0.2">
      <c r="A189" s="4" t="s">
        <v>331</v>
      </c>
      <c r="B189" s="4" t="s">
        <v>332</v>
      </c>
      <c r="C189" s="4" t="s">
        <v>98</v>
      </c>
      <c r="D189" s="4" t="s">
        <v>33</v>
      </c>
      <c r="E189" s="4" t="s">
        <v>44</v>
      </c>
      <c r="F189" s="4" t="s">
        <v>39</v>
      </c>
      <c r="G189" s="4" t="s">
        <v>40</v>
      </c>
      <c r="H189" s="4">
        <v>12</v>
      </c>
      <c r="I189" s="6">
        <v>44</v>
      </c>
      <c r="J189" s="4" t="s">
        <v>48</v>
      </c>
    </row>
    <row r="190" spans="1:10" x14ac:dyDescent="0.2">
      <c r="A190" s="4" t="s">
        <v>86</v>
      </c>
      <c r="B190" s="5">
        <v>45992</v>
      </c>
      <c r="C190" s="4" t="s">
        <v>87</v>
      </c>
      <c r="D190" s="4" t="s">
        <v>88</v>
      </c>
      <c r="E190" s="4" t="s">
        <v>89</v>
      </c>
      <c r="F190" s="4" t="s">
        <v>68</v>
      </c>
      <c r="G190" s="4" t="s">
        <v>69</v>
      </c>
      <c r="H190" s="4">
        <v>6</v>
      </c>
      <c r="I190" s="4" t="s">
        <v>90</v>
      </c>
      <c r="J190" s="4" t="s">
        <v>35</v>
      </c>
    </row>
    <row r="191" spans="1:10" x14ac:dyDescent="0.2">
      <c r="A191" s="4" t="s">
        <v>333</v>
      </c>
      <c r="B191" s="5">
        <v>45977</v>
      </c>
      <c r="C191" s="4" t="s">
        <v>215</v>
      </c>
      <c r="D191" s="4" t="s">
        <v>62</v>
      </c>
      <c r="E191" s="4" t="s">
        <v>28</v>
      </c>
      <c r="F191" s="4" t="s">
        <v>51</v>
      </c>
      <c r="G191" s="4" t="s">
        <v>30</v>
      </c>
      <c r="H191" s="4">
        <v>22</v>
      </c>
      <c r="I191" s="6">
        <v>340</v>
      </c>
      <c r="J191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Q4 Sales Export Edit</vt:lpstr>
      <vt:lpstr>Q4 Sales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Raza</dc:creator>
  <cp:lastModifiedBy>Abbas Raza</cp:lastModifiedBy>
  <dcterms:created xsi:type="dcterms:W3CDTF">2026-09-08T16:41:29Z</dcterms:created>
  <dcterms:modified xsi:type="dcterms:W3CDTF">2026-09-08T16:44:03Z</dcterms:modified>
</cp:coreProperties>
</file>